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" sheetId="1" state="visible" r:id="rId3"/>
    <sheet name="Lancamentos" sheetId="2" state="visible" r:id="rId4"/>
    <sheet name="Orcamento" sheetId="3" state="visible" r:id="rId5"/>
    <sheet name="Listas" sheetId="4" state="visible" r:id="rId6"/>
    <sheet name="Premissa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<sst xmlns="http://schemas.openxmlformats.org/spreadsheetml/2006/main" count="1978" uniqueCount="89">
  <si>
    <t xml:space="preserve">Controle financeiro pessoal (dados simulados)</t>
  </si>
  <si>
    <t xml:space="preserve">Escolha o mês na célula amarela. Período: out/2025 a set/2026. Tudo é calculado por fórmulas.</t>
  </si>
  <si>
    <t xml:space="preserve">Mês selecionado</t>
  </si>
  <si>
    <t xml:space="preserve">Receitas do mês</t>
  </si>
  <si>
    <t xml:space="preserve">Despesas do mês</t>
  </si>
  <si>
    <t xml:space="preserve">Saldo do mês</t>
  </si>
  <si>
    <t xml:space="preserve">Taxa de poupança</t>
  </si>
  <si>
    <t xml:space="preserve">Orçamento usado</t>
  </si>
  <si>
    <t xml:space="preserve">Orçado x realizado no mês selecionado</t>
  </si>
  <si>
    <t xml:space="preserve">Categoria</t>
  </si>
  <si>
    <t xml:space="preserve">Orçado</t>
  </si>
  <si>
    <t xml:space="preserve">Realizado</t>
  </si>
  <si>
    <t xml:space="preserve">Diferença</t>
  </si>
  <si>
    <t xml:space="preserve">% usado</t>
  </si>
  <si>
    <t xml:space="preserve">Status</t>
  </si>
  <si>
    <t xml:space="preserve">Total</t>
  </si>
  <si>
    <t xml:space="preserve">Visão anual</t>
  </si>
  <si>
    <t xml:space="preserve">Mês</t>
  </si>
  <si>
    <t xml:space="preserve">Receitas</t>
  </si>
  <si>
    <t xml:space="preserve">Despesas</t>
  </si>
  <si>
    <t xml:space="preserve">Saldo</t>
  </si>
  <si>
    <t xml:space="preserve">Saldo acumulado</t>
  </si>
  <si>
    <t xml:space="preserve">lancamento_id</t>
  </si>
  <si>
    <t xml:space="preserve">data</t>
  </si>
  <si>
    <t xml:space="preserve">descricao</t>
  </si>
  <si>
    <t xml:space="preserve">categoria</t>
  </si>
  <si>
    <t xml:space="preserve">tipo</t>
  </si>
  <si>
    <t xml:space="preserve">valor</t>
  </si>
  <si>
    <t xml:space="preserve">forma_pagamento</t>
  </si>
  <si>
    <t xml:space="preserve">mes_ref</t>
  </si>
  <si>
    <t xml:space="preserve">Recarga transporte público</t>
  </si>
  <si>
    <t xml:space="preserve">Transporte</t>
  </si>
  <si>
    <t xml:space="preserve">Despesa</t>
  </si>
  <si>
    <t xml:space="preserve">Pix</t>
  </si>
  <si>
    <t xml:space="preserve">Corrida de aplicativo</t>
  </si>
  <si>
    <t xml:space="preserve">Cartão de crédito</t>
  </si>
  <si>
    <t xml:space="preserve">Academia</t>
  </si>
  <si>
    <t xml:space="preserve">Saúde</t>
  </si>
  <si>
    <t xml:space="preserve">Supermercado</t>
  </si>
  <si>
    <t xml:space="preserve">Alimentação</t>
  </si>
  <si>
    <t xml:space="preserve">Consulta médica</t>
  </si>
  <si>
    <t xml:space="preserve">Restaurante</t>
  </si>
  <si>
    <t xml:space="preserve">Delivery</t>
  </si>
  <si>
    <t xml:space="preserve">Salário</t>
  </si>
  <si>
    <t xml:space="preserve">Receita</t>
  </si>
  <si>
    <t xml:space="preserve">Curso online</t>
  </si>
  <si>
    <t xml:space="preserve">Educação</t>
  </si>
  <si>
    <t xml:space="preserve">Show</t>
  </si>
  <si>
    <t xml:space="preserve">Lazer</t>
  </si>
  <si>
    <t xml:space="preserve">Débito</t>
  </si>
  <si>
    <t xml:space="preserve">Aluguel</t>
  </si>
  <si>
    <t xml:space="preserve">Moradia</t>
  </si>
  <si>
    <t xml:space="preserve">Boleto</t>
  </si>
  <si>
    <t xml:space="preserve">Condomínio</t>
  </si>
  <si>
    <t xml:space="preserve">Internet</t>
  </si>
  <si>
    <t xml:space="preserve">Streaming de vídeo</t>
  </si>
  <si>
    <t xml:space="preserve">Assinaturas</t>
  </si>
  <si>
    <t xml:space="preserve">Streaming de música</t>
  </si>
  <si>
    <t xml:space="preserve">Conta de luz</t>
  </si>
  <si>
    <t xml:space="preserve">Lavanderia</t>
  </si>
  <si>
    <t xml:space="preserve">Outros</t>
  </si>
  <si>
    <t xml:space="preserve">Roupas</t>
  </si>
  <si>
    <t xml:space="preserve">Compras</t>
  </si>
  <si>
    <t xml:space="preserve">Rendimento da reserva</t>
  </si>
  <si>
    <t xml:space="preserve">Rendimentos</t>
  </si>
  <si>
    <t xml:space="preserve">Casa e decoração</t>
  </si>
  <si>
    <t xml:space="preserve">Projeto freelance</t>
  </si>
  <si>
    <t xml:space="preserve">Freelance</t>
  </si>
  <si>
    <t xml:space="preserve">Cinema</t>
  </si>
  <si>
    <t xml:space="preserve">Barbeiro</t>
  </si>
  <si>
    <t xml:space="preserve">Bar com amigos</t>
  </si>
  <si>
    <t xml:space="preserve">Passeio</t>
  </si>
  <si>
    <t xml:space="preserve">Correios</t>
  </si>
  <si>
    <t xml:space="preserve">Eletrônicos</t>
  </si>
  <si>
    <t xml:space="preserve">Livro técnico</t>
  </si>
  <si>
    <t xml:space="preserve">Taxa bancária</t>
  </si>
  <si>
    <t xml:space="preserve">Farmácia</t>
  </si>
  <si>
    <t xml:space="preserve">Presente</t>
  </si>
  <si>
    <t xml:space="preserve">orcamento_mensal</t>
  </si>
  <si>
    <t xml:space="preserve">Valores em azul são premissas: altere e o Resumo recalcula.</t>
  </si>
  <si>
    <t xml:space="preserve">mes</t>
  </si>
  <si>
    <t xml:space="preserve">Sobre este projeto</t>
  </si>
  <si>
    <t xml:space="preserve">Controle financeiro de uma pessoa fictícia, de out/2025 a set/2026. Os dados são simulados por script Python (gerar_dados.py, semente fixa) e não representam finanças reais.</t>
  </si>
  <si>
    <t xml:space="preserve">Como usar</t>
  </si>
  <si>
    <t xml:space="preserve">Resumo: escolha o mês na célula amarela (B4) e veja indicadores e orçado x realizado. Lancamentos: base de dados (tabela tbl_lancamentos). Orcamento: metas mensais por categoria, editáveis (valores em azul).</t>
  </si>
  <si>
    <t xml:space="preserve">A coluna mes_ref da aba Lancamentos é fórmula auxiliar (primeiro dia do mês de cada data).</t>
  </si>
  <si>
    <t xml:space="preserve">Regras de leitura</t>
  </si>
  <si>
    <t xml:space="preserve">Status do orçamento: OK até 90% do orçado, Atenção de 90% a 100%, Estourou acima de 100%.</t>
  </si>
  <si>
    <t xml:space="preserve">Taxa de poupança = (receitas − despesas) ÷ receitas.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</si>
</sst>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mmm/yyyy"/>
    <numFmt numFmtId="166" formatCode="&quot;R$ &quot;#,##0"/>
    <numFmt numFmtId="167" formatCode="0.0%"/>
    <numFmt numFmtId="168" formatCode="0%"/>
    <numFmt numFmtId="169" formatCode="mmm/yy"/>
    <numFmt numFmtId="170" formatCode="dd/mm/yyyy"/>
    <numFmt numFmtId="171" formatCode="&quot;R$ &quot;#,##0.0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Arial"/>
      <family val="0"/>
      <charset val="1"/>
    </font>
    <font>
      <i val="true"/>
      <sz val="11"/>
      <color rgb="FF56637A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10"/>
      <color rgb="FF56637A"/>
      <name val="Arial"/>
      <family val="0"/>
      <charset val="1"/>
    </font>
    <font>
      <b val="true"/>
      <sz val="15"/>
      <color rgb="FF1F3A5F"/>
      <name val="Arial"/>
      <family val="0"/>
      <charset val="1"/>
    </font>
    <font>
      <b val="true"/>
      <sz val="12"/>
      <color rgb="FF1F3A5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1"/>
      <color rgb="FF0000FF"/>
      <name val="Arial"/>
      <family val="0"/>
      <charset val="1"/>
    </font>
    <font>
      <b val="true"/>
      <sz val="13"/>
      <color rgb="FF1F3A5F"/>
      <name val="Arial"/>
      <family val="0"/>
      <charset val="1"/>
    </font>
    <font>
      <sz val="11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4CC"/>
        <bgColor rgb="FFFFF0B8"/>
      </patternFill>
    </fill>
    <fill>
      <patternFill patternType="solid">
        <fgColor rgb="FFEAF1FB"/>
        <bgColor rgb="FFFFFFFF"/>
      </patternFill>
    </fill>
    <fill>
      <patternFill patternType="solid">
        <fgColor rgb="FF1F3A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6" fontId="9" fillId="3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7" fontId="9" fillId="3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>
          <bgColor rgb="FFF8D0D0"/>
        </patternFill>
      </fill>
    </dxf>
    <dxf>
      <fill>
        <patternFill>
          <bgColor rgb="FFFFF0B8"/>
        </patternFill>
      </fill>
    </dxf>
    <dxf>
      <fill>
        <patternFill>
          <bgColor rgb="FFD5EFD9"/>
        </patternFill>
      </fill>
    </dxf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C0504D"/>
      <rgbColor rgb="FFFFF4CC"/>
      <rgbColor rgb="FFEAF1FB"/>
      <rgbColor rgb="FF660066"/>
      <rgbColor rgb="FFFF8080"/>
      <rgbColor rgb="FF0066CC"/>
      <rgbColor rgb="FFD0D7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EFD9"/>
      <rgbColor rgb="FFFFF0B8"/>
      <rgbColor rgb="FF99CCFF"/>
      <rgbColor rgb="FFFF99CC"/>
      <rgbColor rgb="FFCC99FF"/>
      <rgbColor rgb="FFF8D0D0"/>
      <rgbColor rgb="FF4A7EBB"/>
      <rgbColor rgb="FF33CCCC"/>
      <rgbColor rgb="FF99CC00"/>
      <rgbColor rgb="FFFFCC00"/>
      <rgbColor rgb="FFFF9900"/>
      <rgbColor rgb="FFFF6600"/>
      <rgbColor rgb="FF56637A"/>
      <rgbColor rgb="FF969696"/>
      <rgbColor rgb="FF1F3A5F"/>
      <rgbColor rgb="FF4F81BD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Receitas x despesas por mês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Resumo!B23</c:f>
              <c:strCache>
                <c:ptCount val="1"/>
                <c:pt idx="0">
                  <c:v>Receitas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Resumo!$A$24:$A$35</c:f>
              <c:strCache>
                <c:ptCount val="12"/>
                <c:pt idx="0">
                  <c:v>Oct/25</c:v>
                </c:pt>
                <c:pt idx="1">
                  <c:v>Nov/25</c:v>
                </c:pt>
                <c:pt idx="2">
                  <c:v>Dec/25</c:v>
                </c:pt>
                <c:pt idx="3">
                  <c:v>Jan/26</c:v>
                </c:pt>
                <c:pt idx="4">
                  <c:v>Feb/26</c:v>
                </c:pt>
                <c:pt idx="5">
                  <c:v>Mar/26</c:v>
                </c:pt>
                <c:pt idx="6">
                  <c:v>Apr/26</c:v>
                </c:pt>
                <c:pt idx="7">
                  <c:v>May/26</c:v>
                </c:pt>
                <c:pt idx="8">
                  <c:v>Jun/26</c:v>
                </c:pt>
                <c:pt idx="9">
                  <c:v>Jul/26</c:v>
                </c:pt>
                <c:pt idx="10">
                  <c:v>Aug/26</c:v>
                </c:pt>
                <c:pt idx="11">
                  <c:v>Sep/26</c:v>
                </c:pt>
              </c:strCache>
            </c:strRef>
          </c:cat>
          <c:val>
            <c:numRef>
              <c:f>Resumo!$B$24:$B$35</c:f>
              <c:numCache>
                <c:formatCode>"R$ "#,##0</c:formatCode>
                <c:ptCount val="12"/>
                <c:pt idx="0">
                  <c:v>5618.75</c:v>
                </c:pt>
                <c:pt idx="1">
                  <c:v>6590.98</c:v>
                </c:pt>
                <c:pt idx="2">
                  <c:v>5647.34</c:v>
                </c:pt>
                <c:pt idx="3">
                  <c:v>5645.07</c:v>
                </c:pt>
                <c:pt idx="4">
                  <c:v>5636.35</c:v>
                </c:pt>
                <c:pt idx="5">
                  <c:v>6216.14</c:v>
                </c:pt>
                <c:pt idx="6">
                  <c:v>6228.12</c:v>
                </c:pt>
                <c:pt idx="7">
                  <c:v>5641.94</c:v>
                </c:pt>
                <c:pt idx="8">
                  <c:v>5631.06</c:v>
                </c:pt>
                <c:pt idx="9">
                  <c:v>5632.08</c:v>
                </c:pt>
                <c:pt idx="10">
                  <c:v>6221.37</c:v>
                </c:pt>
                <c:pt idx="11">
                  <c:v>5628.35</c:v>
                </c:pt>
              </c:numCache>
            </c:numRef>
          </c:val>
        </c:ser>
        <c:ser>
          <c:idx val="1"/>
          <c:order val="1"/>
          <c:tx>
            <c:strRef>
              <c:f>Resumo!C23</c:f>
              <c:strCache>
                <c:ptCount val="1"/>
                <c:pt idx="0">
                  <c:v>Despesas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Resumo!$A$24:$A$35</c:f>
              <c:strCache>
                <c:ptCount val="12"/>
                <c:pt idx="0">
                  <c:v>Oct/25</c:v>
                </c:pt>
                <c:pt idx="1">
                  <c:v>Nov/25</c:v>
                </c:pt>
                <c:pt idx="2">
                  <c:v>Dec/25</c:v>
                </c:pt>
                <c:pt idx="3">
                  <c:v>Jan/26</c:v>
                </c:pt>
                <c:pt idx="4">
                  <c:v>Feb/26</c:v>
                </c:pt>
                <c:pt idx="5">
                  <c:v>Mar/26</c:v>
                </c:pt>
                <c:pt idx="6">
                  <c:v>Apr/26</c:v>
                </c:pt>
                <c:pt idx="7">
                  <c:v>May/26</c:v>
                </c:pt>
                <c:pt idx="8">
                  <c:v>Jun/26</c:v>
                </c:pt>
                <c:pt idx="9">
                  <c:v>Jul/26</c:v>
                </c:pt>
                <c:pt idx="10">
                  <c:v>Aug/26</c:v>
                </c:pt>
                <c:pt idx="11">
                  <c:v>Sep/26</c:v>
                </c:pt>
              </c:strCache>
            </c:strRef>
          </c:cat>
          <c:val>
            <c:numRef>
              <c:f>Resumo!$C$24:$C$35</c:f>
              <c:numCache>
                <c:formatCode>"R$ "#,##0</c:formatCode>
                <c:ptCount val="12"/>
                <c:pt idx="0">
                  <c:v>4110.09</c:v>
                </c:pt>
                <c:pt idx="1">
                  <c:v>4528.15</c:v>
                </c:pt>
                <c:pt idx="2">
                  <c:v>4855.54</c:v>
                </c:pt>
                <c:pt idx="3">
                  <c:v>3862.58</c:v>
                </c:pt>
                <c:pt idx="4">
                  <c:v>4396.25</c:v>
                </c:pt>
                <c:pt idx="5">
                  <c:v>4669.01</c:v>
                </c:pt>
                <c:pt idx="6">
                  <c:v>4743.84</c:v>
                </c:pt>
                <c:pt idx="7">
                  <c:v>4814.07</c:v>
                </c:pt>
                <c:pt idx="8">
                  <c:v>4401.71</c:v>
                </c:pt>
                <c:pt idx="9">
                  <c:v>4821.64</c:v>
                </c:pt>
                <c:pt idx="10">
                  <c:v>5138.63</c:v>
                </c:pt>
                <c:pt idx="11">
                  <c:v>4769.98</c:v>
                </c:pt>
              </c:numCache>
            </c:numRef>
          </c:val>
        </c:ser>
        <c:gapWidth val="150"/>
        <c:overlap val="0"/>
        <c:axId val="53138056"/>
        <c:axId val="57878044"/>
      </c:barChart>
      <c:catAx>
        <c:axId val="53138056"/>
        <c:scaling>
          <c:orientation val="minMax"/>
        </c:scaling>
        <c:delete val="0"/>
        <c:axPos val="b"/>
        <c:numFmt formatCode="mm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878044"/>
        <c:crosses val="autoZero"/>
        <c:auto val="1"/>
        <c:lblAlgn val="ctr"/>
        <c:lblOffset val="100"/>
        <c:noMultiLvlLbl val="0"/>
      </c:catAx>
      <c:valAx>
        <c:axId val="5787804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R$ &quot;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13805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Orçado x realizado por categoria (mês selecionado)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Resumo!B10</c:f>
              <c:strCache>
                <c:ptCount val="1"/>
                <c:pt idx="0">
                  <c:v>Orçado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Resumo!$A$11:$A$19</c:f>
              <c:strCache>
                <c:ptCount val="9"/>
                <c:pt idx="0">
                  <c:v>Moradia</c:v>
                </c:pt>
                <c:pt idx="1">
                  <c:v>Alimentação</c:v>
                </c:pt>
                <c:pt idx="2">
                  <c:v>Transporte</c:v>
                </c:pt>
                <c:pt idx="3">
                  <c:v>Saúde</c:v>
                </c:pt>
                <c:pt idx="4">
                  <c:v>Lazer</c:v>
                </c:pt>
                <c:pt idx="5">
                  <c:v>Educação</c:v>
                </c:pt>
                <c:pt idx="6">
                  <c:v>Assinaturas</c:v>
                </c:pt>
                <c:pt idx="7">
                  <c:v>Compras</c:v>
                </c:pt>
                <c:pt idx="8">
                  <c:v>Outros</c:v>
                </c:pt>
              </c:strCache>
            </c:strRef>
          </c:cat>
          <c:val>
            <c:numRef>
              <c:f>Resumo!$B$11:$B$19</c:f>
              <c:numCache>
                <c:formatCode>"R$ "#,##0</c:formatCode>
                <c:ptCount val="9"/>
                <c:pt idx="0">
                  <c:v>1900</c:v>
                </c:pt>
                <c:pt idx="1">
                  <c:v>1100</c:v>
                </c:pt>
                <c:pt idx="2">
                  <c:v>450</c:v>
                </c:pt>
                <c:pt idx="3">
                  <c:v>250</c:v>
                </c:pt>
                <c:pt idx="4">
                  <c:v>400</c:v>
                </c:pt>
                <c:pt idx="5">
                  <c:v>200</c:v>
                </c:pt>
                <c:pt idx="6">
                  <c:v>120</c:v>
                </c:pt>
                <c:pt idx="7">
                  <c:v>350</c:v>
                </c:pt>
                <c:pt idx="8">
                  <c:v>200</c:v>
                </c:pt>
              </c:numCache>
            </c:numRef>
          </c:val>
        </c:ser>
        <c:ser>
          <c:idx val="1"/>
          <c:order val="1"/>
          <c:tx>
            <c:strRef>
              <c:f>Resumo!C10</c:f>
              <c:strCache>
                <c:ptCount val="1"/>
                <c:pt idx="0">
                  <c:v>Realizado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Resumo!$A$11:$A$19</c:f>
              <c:strCache>
                <c:ptCount val="9"/>
                <c:pt idx="0">
                  <c:v>Moradia</c:v>
                </c:pt>
                <c:pt idx="1">
                  <c:v>Alimentação</c:v>
                </c:pt>
                <c:pt idx="2">
                  <c:v>Transporte</c:v>
                </c:pt>
                <c:pt idx="3">
                  <c:v>Saúde</c:v>
                </c:pt>
                <c:pt idx="4">
                  <c:v>Lazer</c:v>
                </c:pt>
                <c:pt idx="5">
                  <c:v>Educação</c:v>
                </c:pt>
                <c:pt idx="6">
                  <c:v>Assinaturas</c:v>
                </c:pt>
                <c:pt idx="7">
                  <c:v>Compras</c:v>
                </c:pt>
                <c:pt idx="8">
                  <c:v>Outros</c:v>
                </c:pt>
              </c:strCache>
            </c:strRef>
          </c:cat>
          <c:val>
            <c:numRef>
              <c:f>Resumo!$C$11:$C$19</c:f>
              <c:numCache>
                <c:formatCode>"R$ "#,##0</c:formatCode>
                <c:ptCount val="9"/>
                <c:pt idx="0">
                  <c:v>1829.05</c:v>
                </c:pt>
                <c:pt idx="1">
                  <c:v>1499.42</c:v>
                </c:pt>
                <c:pt idx="2">
                  <c:v>338.38</c:v>
                </c:pt>
                <c:pt idx="3">
                  <c:v>214.64</c:v>
                </c:pt>
                <c:pt idx="4">
                  <c:v>490</c:v>
                </c:pt>
                <c:pt idx="5">
                  <c:v>59.9</c:v>
                </c:pt>
                <c:pt idx="6">
                  <c:v>61.8</c:v>
                </c:pt>
                <c:pt idx="7">
                  <c:v>128.05</c:v>
                </c:pt>
                <c:pt idx="8">
                  <c:v>148.74</c:v>
                </c:pt>
              </c:numCache>
            </c:numRef>
          </c:val>
        </c:ser>
        <c:gapWidth val="150"/>
        <c:overlap val="0"/>
        <c:axId val="2950245"/>
        <c:axId val="2365362"/>
      </c:barChart>
      <c:catAx>
        <c:axId val="295024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65362"/>
        <c:crosses val="autoZero"/>
        <c:auto val="1"/>
        <c:lblAlgn val="ctr"/>
        <c:lblOffset val="100"/>
        <c:noMultiLvlLbl val="0"/>
      </c:catAx>
      <c:valAx>
        <c:axId val="236536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R$ &quot;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5024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Saldo acumulado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Resumo!F23</c:f>
              <c:strCache>
                <c:ptCount val="1"/>
                <c:pt idx="0">
                  <c:v>Saldo acumulado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Resumo!$A$24:$A$35</c:f>
              <c:strCache>
                <c:ptCount val="12"/>
                <c:pt idx="0">
                  <c:v>Oct/25</c:v>
                </c:pt>
                <c:pt idx="1">
                  <c:v>Nov/25</c:v>
                </c:pt>
                <c:pt idx="2">
                  <c:v>Dec/25</c:v>
                </c:pt>
                <c:pt idx="3">
                  <c:v>Jan/26</c:v>
                </c:pt>
                <c:pt idx="4">
                  <c:v>Feb/26</c:v>
                </c:pt>
                <c:pt idx="5">
                  <c:v>Mar/26</c:v>
                </c:pt>
                <c:pt idx="6">
                  <c:v>Apr/26</c:v>
                </c:pt>
                <c:pt idx="7">
                  <c:v>May/26</c:v>
                </c:pt>
                <c:pt idx="8">
                  <c:v>Jun/26</c:v>
                </c:pt>
                <c:pt idx="9">
                  <c:v>Jul/26</c:v>
                </c:pt>
                <c:pt idx="10">
                  <c:v>Aug/26</c:v>
                </c:pt>
                <c:pt idx="11">
                  <c:v>Sep/26</c:v>
                </c:pt>
              </c:strCache>
            </c:strRef>
          </c:cat>
          <c:val>
            <c:numRef>
              <c:f>Resumo!$F$24:$F$35</c:f>
              <c:numCache>
                <c:formatCode>"R$ "#,##0</c:formatCode>
                <c:ptCount val="12"/>
                <c:pt idx="0">
                  <c:v>1508.66</c:v>
                </c:pt>
                <c:pt idx="1">
                  <c:v>3571.49</c:v>
                </c:pt>
                <c:pt idx="2">
                  <c:v>4363.29</c:v>
                </c:pt>
                <c:pt idx="3">
                  <c:v>6145.78</c:v>
                </c:pt>
                <c:pt idx="4">
                  <c:v>7385.88</c:v>
                </c:pt>
                <c:pt idx="5">
                  <c:v>8933.01</c:v>
                </c:pt>
                <c:pt idx="6">
                  <c:v>10417.29</c:v>
                </c:pt>
                <c:pt idx="7">
                  <c:v>11245.16</c:v>
                </c:pt>
                <c:pt idx="8">
                  <c:v>12474.51</c:v>
                </c:pt>
                <c:pt idx="9">
                  <c:v>13284.95</c:v>
                </c:pt>
                <c:pt idx="10">
                  <c:v>14367.69</c:v>
                </c:pt>
                <c:pt idx="11">
                  <c:v>15226.06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6947460"/>
        <c:axId val="39936077"/>
      </c:lineChart>
      <c:catAx>
        <c:axId val="36947460"/>
        <c:scaling>
          <c:orientation val="minMax"/>
        </c:scaling>
        <c:delete val="0"/>
        <c:axPos val="b"/>
        <c:numFmt formatCode="mm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936077"/>
        <c:crosses val="autoZero"/>
        <c:auto val="1"/>
        <c:lblAlgn val="ctr"/>
        <c:lblOffset val="100"/>
        <c:noMultiLvlLbl val="0"/>
      </c:catAx>
      <c:valAx>
        <c:axId val="3993607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R$ &quot;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94746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131040</xdr:rowOff>
    </xdr:from>
    <xdr:to>
      <xdr:col>16</xdr:col>
      <xdr:colOff>255960</xdr:colOff>
      <xdr:row>16</xdr:row>
      <xdr:rowOff>30240</xdr:rowOff>
    </xdr:to>
    <xdr:graphicFrame>
      <xdr:nvGraphicFramePr>
        <xdr:cNvPr id="0" name="Chart 1"/>
        <xdr:cNvGraphicFramePr/>
      </xdr:nvGraphicFramePr>
      <xdr:xfrm>
        <a:off x="8294400" y="57168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18</xdr:row>
      <xdr:rowOff>131040</xdr:rowOff>
    </xdr:from>
    <xdr:to>
      <xdr:col>16</xdr:col>
      <xdr:colOff>255960</xdr:colOff>
      <xdr:row>35</xdr:row>
      <xdr:rowOff>132120</xdr:rowOff>
    </xdr:to>
    <xdr:graphicFrame>
      <xdr:nvGraphicFramePr>
        <xdr:cNvPr id="1" name="Chart 2"/>
        <xdr:cNvGraphicFramePr/>
      </xdr:nvGraphicFramePr>
      <xdr:xfrm>
        <a:off x="8294400" y="37530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37</xdr:row>
      <xdr:rowOff>131040</xdr:rowOff>
    </xdr:from>
    <xdr:to>
      <xdr:col>16</xdr:col>
      <xdr:colOff>255960</xdr:colOff>
      <xdr:row>51</xdr:row>
      <xdr:rowOff>163440</xdr:rowOff>
    </xdr:to>
    <xdr:graphicFrame>
      <xdr:nvGraphicFramePr>
        <xdr:cNvPr id="2" name="Chart 3"/>
        <xdr:cNvGraphicFramePr/>
      </xdr:nvGraphicFramePr>
      <xdr:xfrm>
        <a:off x="8294400" y="737244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_lancamentos" displayName="tbl_lancamentos" ref="A1:H482" headerRowCount="1" totalsRowCount="0" totalsRowShown="0">
  <autoFilter ref="A1:H482"/>
  <tableColumns count="8">
    <tableColumn id="1" name="lancamento_id"/>
    <tableColumn id="2" name="data"/>
    <tableColumn id="3" name="descricao"/>
    <tableColumn id="4" name="categoria"/>
    <tableColumn id="5" name="tipo"/>
    <tableColumn id="6" name="valor"/>
    <tableColumn id="7" name="forma_pagamento"/>
    <tableColumn id="8" name="mes_ref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9"/>
    <col collapsed="false" customWidth="true" hidden="false" outlineLevel="0" max="6" min="6" style="0" width="14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n">
        <v>46266</v>
      </c>
    </row>
    <row r="6" customFormat="false" ht="15" hidden="false" customHeight="false" outlineLevel="0" collapsed="false">
      <c r="A6" s="5" t="s">
        <v>3</v>
      </c>
      <c r="B6" s="5" t="s">
        <v>4</v>
      </c>
      <c r="C6" s="5" t="s">
        <v>5</v>
      </c>
      <c r="D6" s="5" t="s">
        <v>6</v>
      </c>
      <c r="E6" s="5" t="s">
        <v>7</v>
      </c>
    </row>
    <row r="7" customFormat="false" ht="25.5" hidden="false" customHeight="true" outlineLevel="0" collapsed="false">
      <c r="A7" s="6" t="n">
        <f aca="false">SUMIFS(Lancamentos!$F$2:$F$482,Lancamentos!$E$2:$E$482,"Receita",Lancamentos!$H$2:$H$482,$B$4)</f>
        <v>5628.35</v>
      </c>
      <c r="B7" s="6" t="n">
        <f aca="false">SUMIFS(Lancamentos!$F$2:$F$482,Lancamentos!$E$2:$E$482,"Despesa",Lancamentos!$H$2:$H$482,$B$4)</f>
        <v>4769.98</v>
      </c>
      <c r="C7" s="6" t="n">
        <f aca="false">A7-B7</f>
        <v>858.37</v>
      </c>
      <c r="D7" s="7" t="n">
        <f aca="false">IFERROR(C7/A7,0)</f>
        <v>0.152508283955333</v>
      </c>
      <c r="E7" s="7" t="n">
        <f aca="false">IFERROR(B7/Orcamento!B11,0)</f>
        <v>0.959754527162978</v>
      </c>
    </row>
    <row r="9" customFormat="false" ht="15" hidden="false" customHeight="false" outlineLevel="0" collapsed="false">
      <c r="A9" s="8" t="s">
        <v>8</v>
      </c>
    </row>
    <row r="10" customFormat="false" ht="15" hidden="false" customHeight="false" outlineLevel="0" collapsed="false">
      <c r="A10" s="9" t="s">
        <v>9</v>
      </c>
      <c r="B10" s="9" t="s">
        <v>10</v>
      </c>
      <c r="C10" s="9" t="s">
        <v>11</v>
      </c>
      <c r="D10" s="9" t="s">
        <v>12</v>
      </c>
      <c r="E10" s="9" t="s">
        <v>13</v>
      </c>
      <c r="F10" s="9" t="s">
        <v>14</v>
      </c>
    </row>
    <row r="11" customFormat="false" ht="15" hidden="false" customHeight="false" outlineLevel="0" collapsed="false">
      <c r="A11" s="10" t="str">
        <f aca="false">Orcamento!A2</f>
        <v>Moradia</v>
      </c>
      <c r="B11" s="11" t="n">
        <f aca="false">Orcamento!B2</f>
        <v>1900</v>
      </c>
      <c r="C11" s="11" t="n">
        <f aca="false">SUMIFS(Lancamentos!$F$2:$F$482,Lancamentos!$D$2:$D$482,A11,Lancamentos!$E$2:$E$482,"Despesa",Lancamentos!$H$2:$H$482,$B$4)</f>
        <v>1829.05</v>
      </c>
      <c r="D11" s="11" t="n">
        <f aca="false">B11-C11</f>
        <v>70.9500000000001</v>
      </c>
      <c r="E11" s="12" t="n">
        <f aca="false">IFERROR(C11/B11,0)</f>
        <v>0.962657894736842</v>
      </c>
      <c r="F11" s="10" t="str">
        <f aca="false">IF(E11&gt;1,"Estourou",IF(E11&gt;0.9,"Atenção","OK"))</f>
        <v>Atenção</v>
      </c>
    </row>
    <row r="12" customFormat="false" ht="15" hidden="false" customHeight="false" outlineLevel="0" collapsed="false">
      <c r="A12" s="10" t="str">
        <f aca="false">Orcamento!A3</f>
        <v>Alimentação</v>
      </c>
      <c r="B12" s="11" t="n">
        <f aca="false">Orcamento!B3</f>
        <v>1100</v>
      </c>
      <c r="C12" s="11" t="n">
        <f aca="false">SUMIFS(Lancamentos!$F$2:$F$482,Lancamentos!$D$2:$D$482,A12,Lancamentos!$E$2:$E$482,"Despesa",Lancamentos!$H$2:$H$482,$B$4)</f>
        <v>1499.42</v>
      </c>
      <c r="D12" s="11" t="n">
        <f aca="false">B12-C12</f>
        <v>-399.42</v>
      </c>
      <c r="E12" s="12" t="n">
        <f aca="false">IFERROR(C12/B12,0)</f>
        <v>1.36310909090909</v>
      </c>
      <c r="F12" s="10" t="str">
        <f aca="false">IF(E12&gt;1,"Estourou",IF(E12&gt;0.9,"Atenção","OK"))</f>
        <v>Estourou</v>
      </c>
    </row>
    <row r="13" customFormat="false" ht="15" hidden="false" customHeight="false" outlineLevel="0" collapsed="false">
      <c r="A13" s="10" t="str">
        <f aca="false">Orcamento!A4</f>
        <v>Transporte</v>
      </c>
      <c r="B13" s="11" t="n">
        <f aca="false">Orcamento!B4</f>
        <v>450</v>
      </c>
      <c r="C13" s="11" t="n">
        <f aca="false">SUMIFS(Lancamentos!$F$2:$F$482,Lancamentos!$D$2:$D$482,A13,Lancamentos!$E$2:$E$482,"Despesa",Lancamentos!$H$2:$H$482,$B$4)</f>
        <v>338.38</v>
      </c>
      <c r="D13" s="11" t="n">
        <f aca="false">B13-C13</f>
        <v>111.62</v>
      </c>
      <c r="E13" s="12" t="n">
        <f aca="false">IFERROR(C13/B13,0)</f>
        <v>0.751955555555556</v>
      </c>
      <c r="F13" s="10" t="str">
        <f aca="false">IF(E13&gt;1,"Estourou",IF(E13&gt;0.9,"Atenção","OK"))</f>
        <v>OK</v>
      </c>
    </row>
    <row r="14" customFormat="false" ht="15" hidden="false" customHeight="false" outlineLevel="0" collapsed="false">
      <c r="A14" s="10" t="str">
        <f aca="false">Orcamento!A5</f>
        <v>Saúde</v>
      </c>
      <c r="B14" s="11" t="n">
        <f aca="false">Orcamento!B5</f>
        <v>250</v>
      </c>
      <c r="C14" s="11" t="n">
        <f aca="false">SUMIFS(Lancamentos!$F$2:$F$482,Lancamentos!$D$2:$D$482,A14,Lancamentos!$E$2:$E$482,"Despesa",Lancamentos!$H$2:$H$482,$B$4)</f>
        <v>214.64</v>
      </c>
      <c r="D14" s="11" t="n">
        <f aca="false">B14-C14</f>
        <v>35.36</v>
      </c>
      <c r="E14" s="12" t="n">
        <f aca="false">IFERROR(C14/B14,0)</f>
        <v>0.85856</v>
      </c>
      <c r="F14" s="10" t="str">
        <f aca="false">IF(E14&gt;1,"Estourou",IF(E14&gt;0.9,"Atenção","OK"))</f>
        <v>OK</v>
      </c>
    </row>
    <row r="15" customFormat="false" ht="15" hidden="false" customHeight="false" outlineLevel="0" collapsed="false">
      <c r="A15" s="10" t="str">
        <f aca="false">Orcamento!A6</f>
        <v>Lazer</v>
      </c>
      <c r="B15" s="11" t="n">
        <f aca="false">Orcamento!B6</f>
        <v>400</v>
      </c>
      <c r="C15" s="11" t="n">
        <f aca="false">SUMIFS(Lancamentos!$F$2:$F$482,Lancamentos!$D$2:$D$482,A15,Lancamentos!$E$2:$E$482,"Despesa",Lancamentos!$H$2:$H$482,$B$4)</f>
        <v>490</v>
      </c>
      <c r="D15" s="11" t="n">
        <f aca="false">B15-C15</f>
        <v>-90</v>
      </c>
      <c r="E15" s="12" t="n">
        <f aca="false">IFERROR(C15/B15,0)</f>
        <v>1.225</v>
      </c>
      <c r="F15" s="10" t="str">
        <f aca="false">IF(E15&gt;1,"Estourou",IF(E15&gt;0.9,"Atenção","OK"))</f>
        <v>Estourou</v>
      </c>
    </row>
    <row r="16" customFormat="false" ht="15" hidden="false" customHeight="false" outlineLevel="0" collapsed="false">
      <c r="A16" s="10" t="str">
        <f aca="false">Orcamento!A7</f>
        <v>Educação</v>
      </c>
      <c r="B16" s="11" t="n">
        <f aca="false">Orcamento!B7</f>
        <v>200</v>
      </c>
      <c r="C16" s="11" t="n">
        <f aca="false">SUMIFS(Lancamentos!$F$2:$F$482,Lancamentos!$D$2:$D$482,A16,Lancamentos!$E$2:$E$482,"Despesa",Lancamentos!$H$2:$H$482,$B$4)</f>
        <v>59.9</v>
      </c>
      <c r="D16" s="11" t="n">
        <f aca="false">B16-C16</f>
        <v>140.1</v>
      </c>
      <c r="E16" s="12" t="n">
        <f aca="false">IFERROR(C16/B16,0)</f>
        <v>0.2995</v>
      </c>
      <c r="F16" s="10" t="str">
        <f aca="false">IF(E16&gt;1,"Estourou",IF(E16&gt;0.9,"Atenção","OK"))</f>
        <v>OK</v>
      </c>
    </row>
    <row r="17" customFormat="false" ht="15" hidden="false" customHeight="false" outlineLevel="0" collapsed="false">
      <c r="A17" s="10" t="str">
        <f aca="false">Orcamento!A8</f>
        <v>Assinaturas</v>
      </c>
      <c r="B17" s="11" t="n">
        <f aca="false">Orcamento!B8</f>
        <v>120</v>
      </c>
      <c r="C17" s="11" t="n">
        <f aca="false">SUMIFS(Lancamentos!$F$2:$F$482,Lancamentos!$D$2:$D$482,A17,Lancamentos!$E$2:$E$482,"Despesa",Lancamentos!$H$2:$H$482,$B$4)</f>
        <v>61.8</v>
      </c>
      <c r="D17" s="11" t="n">
        <f aca="false">B17-C17</f>
        <v>58.2</v>
      </c>
      <c r="E17" s="12" t="n">
        <f aca="false">IFERROR(C17/B17,0)</f>
        <v>0.515</v>
      </c>
      <c r="F17" s="10" t="str">
        <f aca="false">IF(E17&gt;1,"Estourou",IF(E17&gt;0.9,"Atenção","OK"))</f>
        <v>OK</v>
      </c>
    </row>
    <row r="18" customFormat="false" ht="15" hidden="false" customHeight="false" outlineLevel="0" collapsed="false">
      <c r="A18" s="10" t="str">
        <f aca="false">Orcamento!A9</f>
        <v>Compras</v>
      </c>
      <c r="B18" s="11" t="n">
        <f aca="false">Orcamento!B9</f>
        <v>350</v>
      </c>
      <c r="C18" s="11" t="n">
        <f aca="false">SUMIFS(Lancamentos!$F$2:$F$482,Lancamentos!$D$2:$D$482,A18,Lancamentos!$E$2:$E$482,"Despesa",Lancamentos!$H$2:$H$482,$B$4)</f>
        <v>128.05</v>
      </c>
      <c r="D18" s="11" t="n">
        <f aca="false">B18-C18</f>
        <v>221.95</v>
      </c>
      <c r="E18" s="12" t="n">
        <f aca="false">IFERROR(C18/B18,0)</f>
        <v>0.365857142857143</v>
      </c>
      <c r="F18" s="10" t="str">
        <f aca="false">IF(E18&gt;1,"Estourou",IF(E18&gt;0.9,"Atenção","OK"))</f>
        <v>OK</v>
      </c>
    </row>
    <row r="19" customFormat="false" ht="15" hidden="false" customHeight="false" outlineLevel="0" collapsed="false">
      <c r="A19" s="10" t="str">
        <f aca="false">Orcamento!A10</f>
        <v>Outros</v>
      </c>
      <c r="B19" s="11" t="n">
        <f aca="false">Orcamento!B10</f>
        <v>200</v>
      </c>
      <c r="C19" s="11" t="n">
        <f aca="false">SUMIFS(Lancamentos!$F$2:$F$482,Lancamentos!$D$2:$D$482,A19,Lancamentos!$E$2:$E$482,"Despesa",Lancamentos!$H$2:$H$482,$B$4)</f>
        <v>148.74</v>
      </c>
      <c r="D19" s="11" t="n">
        <f aca="false">B19-C19</f>
        <v>51.26</v>
      </c>
      <c r="E19" s="12" t="n">
        <f aca="false">IFERROR(C19/B19,0)</f>
        <v>0.7437</v>
      </c>
      <c r="F19" s="10" t="str">
        <f aca="false">IF(E19&gt;1,"Estourou",IF(E19&gt;0.9,"Atenção","OK"))</f>
        <v>OK</v>
      </c>
    </row>
    <row r="20" customFormat="false" ht="15" hidden="false" customHeight="false" outlineLevel="0" collapsed="false">
      <c r="A20" s="13" t="s">
        <v>15</v>
      </c>
      <c r="B20" s="14" t="n">
        <f aca="false">SUM(B11:B19)</f>
        <v>4970</v>
      </c>
      <c r="C20" s="14" t="n">
        <f aca="false">SUM(C11:C19)</f>
        <v>4769.98</v>
      </c>
      <c r="D20" s="14" t="n">
        <f aca="false">B20-C20</f>
        <v>200.02</v>
      </c>
      <c r="E20" s="15" t="n">
        <f aca="false">IFERROR(C20/B20,0)</f>
        <v>0.959754527162978</v>
      </c>
      <c r="F20" s="13"/>
    </row>
    <row r="22" customFormat="false" ht="15" hidden="false" customHeight="false" outlineLevel="0" collapsed="false">
      <c r="A22" s="8" t="s">
        <v>16</v>
      </c>
    </row>
    <row r="23" customFormat="false" ht="15" hidden="false" customHeight="false" outlineLevel="0" collapsed="false">
      <c r="A23" s="9" t="s">
        <v>17</v>
      </c>
      <c r="B23" s="9" t="s">
        <v>18</v>
      </c>
      <c r="C23" s="9" t="s">
        <v>19</v>
      </c>
      <c r="D23" s="9" t="s">
        <v>20</v>
      </c>
      <c r="E23" s="9" t="s">
        <v>6</v>
      </c>
      <c r="F23" s="9" t="s">
        <v>21</v>
      </c>
    </row>
    <row r="24" customFormat="false" ht="15" hidden="false" customHeight="false" outlineLevel="0" collapsed="false">
      <c r="A24" s="16" t="n">
        <f aca="false">Listas!A2</f>
        <v>45931</v>
      </c>
      <c r="B24" s="11" t="n">
        <f aca="false">SUMIFS(Lancamentos!$F$2:$F$482,Lancamentos!$E$2:$E$482,"Receita",Lancamentos!$H$2:$H$482,A24)</f>
        <v>5618.75</v>
      </c>
      <c r="C24" s="11" t="n">
        <f aca="false">SUMIFS(Lancamentos!$F$2:$F$482,Lancamentos!$E$2:$E$482,"Despesa",Lancamentos!$H$2:$H$482,A24)</f>
        <v>4110.09</v>
      </c>
      <c r="D24" s="11" t="n">
        <f aca="false">B24-C24</f>
        <v>1508.66</v>
      </c>
      <c r="E24" s="17" t="n">
        <f aca="false">IFERROR(D24/B24,0)</f>
        <v>0.268504560622914</v>
      </c>
      <c r="F24" s="11" t="n">
        <f aca="false">D24</f>
        <v>1508.66</v>
      </c>
    </row>
    <row r="25" customFormat="false" ht="15" hidden="false" customHeight="false" outlineLevel="0" collapsed="false">
      <c r="A25" s="16" t="n">
        <f aca="false">Listas!A3</f>
        <v>45962</v>
      </c>
      <c r="B25" s="11" t="n">
        <f aca="false">SUMIFS(Lancamentos!$F$2:$F$482,Lancamentos!$E$2:$E$482,"Receita",Lancamentos!$H$2:$H$482,A25)</f>
        <v>6590.98</v>
      </c>
      <c r="C25" s="11" t="n">
        <f aca="false">SUMIFS(Lancamentos!$F$2:$F$482,Lancamentos!$E$2:$E$482,"Despesa",Lancamentos!$H$2:$H$482,A25)</f>
        <v>4528.15</v>
      </c>
      <c r="D25" s="11" t="n">
        <f aca="false">B25-C25</f>
        <v>2062.83</v>
      </c>
      <c r="E25" s="17" t="n">
        <f aca="false">IFERROR(D25/B25,0)</f>
        <v>0.312977736239527</v>
      </c>
      <c r="F25" s="11" t="n">
        <f aca="false">F24+D25</f>
        <v>3571.49</v>
      </c>
    </row>
    <row r="26" customFormat="false" ht="15" hidden="false" customHeight="false" outlineLevel="0" collapsed="false">
      <c r="A26" s="16" t="n">
        <f aca="false">Listas!A4</f>
        <v>45992</v>
      </c>
      <c r="B26" s="11" t="n">
        <f aca="false">SUMIFS(Lancamentos!$F$2:$F$482,Lancamentos!$E$2:$E$482,"Receita",Lancamentos!$H$2:$H$482,A26)</f>
        <v>5647.34</v>
      </c>
      <c r="C26" s="11" t="n">
        <f aca="false">SUMIFS(Lancamentos!$F$2:$F$482,Lancamentos!$E$2:$E$482,"Despesa",Lancamentos!$H$2:$H$482,A26)</f>
        <v>4855.54</v>
      </c>
      <c r="D26" s="11" t="n">
        <f aca="false">B26-C26</f>
        <v>791.8</v>
      </c>
      <c r="E26" s="17" t="n">
        <f aca="false">IFERROR(D26/B26,0)</f>
        <v>0.140207602163142</v>
      </c>
      <c r="F26" s="11" t="n">
        <f aca="false">F25+D26</f>
        <v>4363.29</v>
      </c>
    </row>
    <row r="27" customFormat="false" ht="15" hidden="false" customHeight="false" outlineLevel="0" collapsed="false">
      <c r="A27" s="16" t="n">
        <f aca="false">Listas!A5</f>
        <v>46023</v>
      </c>
      <c r="B27" s="11" t="n">
        <f aca="false">SUMIFS(Lancamentos!$F$2:$F$482,Lancamentos!$E$2:$E$482,"Receita",Lancamentos!$H$2:$H$482,A27)</f>
        <v>5645.07</v>
      </c>
      <c r="C27" s="11" t="n">
        <f aca="false">SUMIFS(Lancamentos!$F$2:$F$482,Lancamentos!$E$2:$E$482,"Despesa",Lancamentos!$H$2:$H$482,A27)</f>
        <v>3862.58</v>
      </c>
      <c r="D27" s="11" t="n">
        <f aca="false">B27-C27</f>
        <v>1782.49</v>
      </c>
      <c r="E27" s="17" t="n">
        <f aca="false">IFERROR(D27/B27,0)</f>
        <v>0.315760477726583</v>
      </c>
      <c r="F27" s="11" t="n">
        <f aca="false">F26+D27</f>
        <v>6145.78</v>
      </c>
    </row>
    <row r="28" customFormat="false" ht="15" hidden="false" customHeight="false" outlineLevel="0" collapsed="false">
      <c r="A28" s="16" t="n">
        <f aca="false">Listas!A6</f>
        <v>46054</v>
      </c>
      <c r="B28" s="11" t="n">
        <f aca="false">SUMIFS(Lancamentos!$F$2:$F$482,Lancamentos!$E$2:$E$482,"Receita",Lancamentos!$H$2:$H$482,A28)</f>
        <v>5636.35</v>
      </c>
      <c r="C28" s="11" t="n">
        <f aca="false">SUMIFS(Lancamentos!$F$2:$F$482,Lancamentos!$E$2:$E$482,"Despesa",Lancamentos!$H$2:$H$482,A28)</f>
        <v>4396.25</v>
      </c>
      <c r="D28" s="11" t="n">
        <f aca="false">B28-C28</f>
        <v>1240.1</v>
      </c>
      <c r="E28" s="17" t="n">
        <f aca="false">IFERROR(D28/B28,0)</f>
        <v>0.22001827423776</v>
      </c>
      <c r="F28" s="11" t="n">
        <f aca="false">F27+D28</f>
        <v>7385.88</v>
      </c>
    </row>
    <row r="29" customFormat="false" ht="15" hidden="false" customHeight="false" outlineLevel="0" collapsed="false">
      <c r="A29" s="16" t="n">
        <f aca="false">Listas!A7</f>
        <v>46082</v>
      </c>
      <c r="B29" s="11" t="n">
        <f aca="false">SUMIFS(Lancamentos!$F$2:$F$482,Lancamentos!$E$2:$E$482,"Receita",Lancamentos!$H$2:$H$482,A29)</f>
        <v>6216.14</v>
      </c>
      <c r="C29" s="11" t="n">
        <f aca="false">SUMIFS(Lancamentos!$F$2:$F$482,Lancamentos!$E$2:$E$482,"Despesa",Lancamentos!$H$2:$H$482,A29)</f>
        <v>4669.01</v>
      </c>
      <c r="D29" s="11" t="n">
        <f aca="false">B29-C29</f>
        <v>1547.13</v>
      </c>
      <c r="E29" s="17" t="n">
        <f aca="false">IFERROR(D29/B29,0)</f>
        <v>0.24888918203258</v>
      </c>
      <c r="F29" s="11" t="n">
        <f aca="false">F28+D29</f>
        <v>8933.01</v>
      </c>
    </row>
    <row r="30" customFormat="false" ht="15" hidden="false" customHeight="false" outlineLevel="0" collapsed="false">
      <c r="A30" s="16" t="n">
        <f aca="false">Listas!A8</f>
        <v>46113</v>
      </c>
      <c r="B30" s="11" t="n">
        <f aca="false">SUMIFS(Lancamentos!$F$2:$F$482,Lancamentos!$E$2:$E$482,"Receita",Lancamentos!$H$2:$H$482,A30)</f>
        <v>6228.12</v>
      </c>
      <c r="C30" s="11" t="n">
        <f aca="false">SUMIFS(Lancamentos!$F$2:$F$482,Lancamentos!$E$2:$E$482,"Despesa",Lancamentos!$H$2:$H$482,A30)</f>
        <v>4743.84</v>
      </c>
      <c r="D30" s="11" t="n">
        <f aca="false">B30-C30</f>
        <v>1484.28</v>
      </c>
      <c r="E30" s="17" t="n">
        <f aca="false">IFERROR(D30/B30,0)</f>
        <v>0.238319107531647</v>
      </c>
      <c r="F30" s="11" t="n">
        <f aca="false">F29+D30</f>
        <v>10417.29</v>
      </c>
    </row>
    <row r="31" customFormat="false" ht="15" hidden="false" customHeight="false" outlineLevel="0" collapsed="false">
      <c r="A31" s="16" t="n">
        <f aca="false">Listas!A9</f>
        <v>46143</v>
      </c>
      <c r="B31" s="11" t="n">
        <f aca="false">SUMIFS(Lancamentos!$F$2:$F$482,Lancamentos!$E$2:$E$482,"Receita",Lancamentos!$H$2:$H$482,A31)</f>
        <v>5641.94</v>
      </c>
      <c r="C31" s="11" t="n">
        <f aca="false">SUMIFS(Lancamentos!$F$2:$F$482,Lancamentos!$E$2:$E$482,"Despesa",Lancamentos!$H$2:$H$482,A31)</f>
        <v>4814.07</v>
      </c>
      <c r="D31" s="11" t="n">
        <f aca="false">B31-C31</f>
        <v>827.87</v>
      </c>
      <c r="E31" s="17" t="n">
        <f aca="false">IFERROR(D31/B31,0)</f>
        <v>0.146734988319621</v>
      </c>
      <c r="F31" s="11" t="n">
        <f aca="false">F30+D31</f>
        <v>11245.16</v>
      </c>
    </row>
    <row r="32" customFormat="false" ht="15" hidden="false" customHeight="false" outlineLevel="0" collapsed="false">
      <c r="A32" s="16" t="n">
        <f aca="false">Listas!A10</f>
        <v>46174</v>
      </c>
      <c r="B32" s="11" t="n">
        <f aca="false">SUMIFS(Lancamentos!$F$2:$F$482,Lancamentos!$E$2:$E$482,"Receita",Lancamentos!$H$2:$H$482,A32)</f>
        <v>5631.06</v>
      </c>
      <c r="C32" s="11" t="n">
        <f aca="false">SUMIFS(Lancamentos!$F$2:$F$482,Lancamentos!$E$2:$E$482,"Despesa",Lancamentos!$H$2:$H$482,A32)</f>
        <v>4401.71</v>
      </c>
      <c r="D32" s="11" t="n">
        <f aca="false">B32-C32</f>
        <v>1229.35</v>
      </c>
      <c r="E32" s="17" t="n">
        <f aca="false">IFERROR(D32/B32,0)</f>
        <v>0.218315912101807</v>
      </c>
      <c r="F32" s="11" t="n">
        <f aca="false">F31+D32</f>
        <v>12474.51</v>
      </c>
    </row>
    <row r="33" customFormat="false" ht="15" hidden="false" customHeight="false" outlineLevel="0" collapsed="false">
      <c r="A33" s="16" t="n">
        <f aca="false">Listas!A11</f>
        <v>46204</v>
      </c>
      <c r="B33" s="11" t="n">
        <f aca="false">SUMIFS(Lancamentos!$F$2:$F$482,Lancamentos!$E$2:$E$482,"Receita",Lancamentos!$H$2:$H$482,A33)</f>
        <v>5632.08</v>
      </c>
      <c r="C33" s="11" t="n">
        <f aca="false">SUMIFS(Lancamentos!$F$2:$F$482,Lancamentos!$E$2:$E$482,"Despesa",Lancamentos!$H$2:$H$482,A33)</f>
        <v>4821.64</v>
      </c>
      <c r="D33" s="11" t="n">
        <f aca="false">B33-C33</f>
        <v>810.44</v>
      </c>
      <c r="E33" s="17" t="n">
        <f aca="false">IFERROR(D33/B33,0)</f>
        <v>0.143897103734322</v>
      </c>
      <c r="F33" s="11" t="n">
        <f aca="false">F32+D33</f>
        <v>13284.95</v>
      </c>
    </row>
    <row r="34" customFormat="false" ht="15" hidden="false" customHeight="false" outlineLevel="0" collapsed="false">
      <c r="A34" s="16" t="n">
        <f aca="false">Listas!A12</f>
        <v>46235</v>
      </c>
      <c r="B34" s="11" t="n">
        <f aca="false">SUMIFS(Lancamentos!$F$2:$F$482,Lancamentos!$E$2:$E$482,"Receita",Lancamentos!$H$2:$H$482,A34)</f>
        <v>6221.37</v>
      </c>
      <c r="C34" s="11" t="n">
        <f aca="false">SUMIFS(Lancamentos!$F$2:$F$482,Lancamentos!$E$2:$E$482,"Despesa",Lancamentos!$H$2:$H$482,A34)</f>
        <v>5138.63</v>
      </c>
      <c r="D34" s="11" t="n">
        <f aca="false">B34-C34</f>
        <v>1082.74</v>
      </c>
      <c r="E34" s="17" t="n">
        <f aca="false">IFERROR(D34/B34,0)</f>
        <v>0.174035622378994</v>
      </c>
      <c r="F34" s="11" t="n">
        <f aca="false">F33+D34</f>
        <v>14367.69</v>
      </c>
    </row>
    <row r="35" customFormat="false" ht="15" hidden="false" customHeight="false" outlineLevel="0" collapsed="false">
      <c r="A35" s="16" t="n">
        <f aca="false">Listas!A13</f>
        <v>46266</v>
      </c>
      <c r="B35" s="11" t="n">
        <f aca="false">SUMIFS(Lancamentos!$F$2:$F$482,Lancamentos!$E$2:$E$482,"Receita",Lancamentos!$H$2:$H$482,A35)</f>
        <v>5628.35</v>
      </c>
      <c r="C35" s="11" t="n">
        <f aca="false">SUMIFS(Lancamentos!$F$2:$F$482,Lancamentos!$E$2:$E$482,"Despesa",Lancamentos!$H$2:$H$482,A35)</f>
        <v>4769.98</v>
      </c>
      <c r="D35" s="11" t="n">
        <f aca="false">B35-C35</f>
        <v>858.37</v>
      </c>
      <c r="E35" s="17" t="n">
        <f aca="false">IFERROR(D35/B35,0)</f>
        <v>0.152508283955333</v>
      </c>
      <c r="F35" s="11" t="n">
        <f aca="false">F34+D35</f>
        <v>15226.06</v>
      </c>
    </row>
    <row r="36" customFormat="false" ht="15" hidden="false" customHeight="false" outlineLevel="0" collapsed="false">
      <c r="A36" s="13" t="s">
        <v>15</v>
      </c>
      <c r="B36" s="14" t="n">
        <f aca="false">SUM(B24:B35)</f>
        <v>70337.55</v>
      </c>
      <c r="C36" s="14" t="n">
        <f aca="false">SUM(C24:C35)</f>
        <v>55111.49</v>
      </c>
      <c r="D36" s="14" t="n">
        <f aca="false">SUM(D24:D35)</f>
        <v>15226.06</v>
      </c>
      <c r="E36" s="18" t="n">
        <f aca="false">IFERROR(D36/B36,0)</f>
        <v>0.216471287384903</v>
      </c>
      <c r="F36" s="14" t="n">
        <f aca="false">F35</f>
        <v>15226.06</v>
      </c>
    </row>
  </sheetData>
  <conditionalFormatting sqref="F11:F19">
    <cfRule type="expression" priority="2" aboveAverage="0" equalAverage="0" bottom="0" percent="0" rank="0" text="" dxfId="0">
      <formula>$F11="Estourou"</formula>
    </cfRule>
    <cfRule type="expression" priority="3" aboveAverage="0" equalAverage="0" bottom="0" percent="0" rank="0" text="" dxfId="1">
      <formula>$F11="Atenção"</formula>
    </cfRule>
    <cfRule type="expression" priority="4" aboveAverage="0" equalAverage="0" bottom="0" percent="0" rank="0" text="" dxfId="2">
      <formula>$F11="OK"</formula>
    </cfRule>
  </conditionalFormatting>
  <dataValidations count="1">
    <dataValidation allowBlank="false" errorStyle="stop" operator="between" showDropDown="false" showErrorMessage="false" showInputMessage="false" sqref="B4" type="list">
      <formula1>Listas!$A$2:$A$13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3"/>
    <col collapsed="false" customWidth="true" hidden="false" outlineLevel="0" max="3" min="3" style="0" width="28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20"/>
    <col collapsed="false" customWidth="true" hidden="false" outlineLevel="0" max="8" min="8" style="0" width="11"/>
  </cols>
  <sheetData>
    <row r="1" customFormat="false" ht="15" hidden="false" customHeight="false" outlineLevel="0" collapsed="false">
      <c r="A1" s="19" t="s">
        <v>22</v>
      </c>
      <c r="B1" s="19" t="s">
        <v>23</v>
      </c>
      <c r="C1" s="19" t="s">
        <v>24</v>
      </c>
      <c r="D1" s="19" t="s">
        <v>25</v>
      </c>
      <c r="E1" s="19" t="s">
        <v>26</v>
      </c>
      <c r="F1" s="19" t="s">
        <v>27</v>
      </c>
      <c r="G1" s="19" t="s">
        <v>28</v>
      </c>
      <c r="H1" s="19" t="s">
        <v>29</v>
      </c>
    </row>
    <row r="2" customFormat="false" ht="15" hidden="false" customHeight="false" outlineLevel="0" collapsed="false">
      <c r="A2" s="20" t="n">
        <v>1</v>
      </c>
      <c r="B2" s="21" t="n">
        <v>45932</v>
      </c>
      <c r="C2" s="20" t="s">
        <v>30</v>
      </c>
      <c r="D2" s="20" t="s">
        <v>31</v>
      </c>
      <c r="E2" s="20" t="s">
        <v>32</v>
      </c>
      <c r="F2" s="22" t="n">
        <v>150</v>
      </c>
      <c r="G2" s="20" t="s">
        <v>33</v>
      </c>
      <c r="H2" s="23" t="n">
        <f aca="false">DATE(YEAR(B2),MONTH(B2),1)</f>
        <v>45931</v>
      </c>
    </row>
    <row r="3" customFormat="false" ht="15" hidden="false" customHeight="false" outlineLevel="0" collapsed="false">
      <c r="A3" s="20" t="n">
        <v>2</v>
      </c>
      <c r="B3" s="21" t="n">
        <v>45932</v>
      </c>
      <c r="C3" s="20" t="s">
        <v>34</v>
      </c>
      <c r="D3" s="20" t="s">
        <v>31</v>
      </c>
      <c r="E3" s="20" t="s">
        <v>32</v>
      </c>
      <c r="F3" s="22" t="n">
        <v>29.19</v>
      </c>
      <c r="G3" s="20" t="s">
        <v>35</v>
      </c>
      <c r="H3" s="23" t="n">
        <f aca="false">DATE(YEAR(B3),MONTH(B3),1)</f>
        <v>45931</v>
      </c>
    </row>
    <row r="4" customFormat="false" ht="15" hidden="false" customHeight="false" outlineLevel="0" collapsed="false">
      <c r="A4" s="20" t="n">
        <v>3</v>
      </c>
      <c r="B4" s="21" t="n">
        <v>45933</v>
      </c>
      <c r="C4" s="20" t="s">
        <v>36</v>
      </c>
      <c r="D4" s="20" t="s">
        <v>37</v>
      </c>
      <c r="E4" s="20" t="s">
        <v>32</v>
      </c>
      <c r="F4" s="22" t="n">
        <v>109.9</v>
      </c>
      <c r="G4" s="20" t="s">
        <v>35</v>
      </c>
      <c r="H4" s="23" t="n">
        <f aca="false">DATE(YEAR(B4),MONTH(B4),1)</f>
        <v>45931</v>
      </c>
    </row>
    <row r="5" customFormat="false" ht="15" hidden="false" customHeight="false" outlineLevel="0" collapsed="false">
      <c r="A5" s="20" t="n">
        <v>4</v>
      </c>
      <c r="B5" s="21" t="n">
        <v>45933</v>
      </c>
      <c r="C5" s="20" t="s">
        <v>38</v>
      </c>
      <c r="D5" s="20" t="s">
        <v>39</v>
      </c>
      <c r="E5" s="20" t="s">
        <v>32</v>
      </c>
      <c r="F5" s="22" t="n">
        <v>104.98</v>
      </c>
      <c r="G5" s="20" t="s">
        <v>33</v>
      </c>
      <c r="H5" s="23" t="n">
        <f aca="false">DATE(YEAR(B5),MONTH(B5),1)</f>
        <v>45931</v>
      </c>
    </row>
    <row r="6" customFormat="false" ht="15" hidden="false" customHeight="false" outlineLevel="0" collapsed="false">
      <c r="A6" s="20" t="n">
        <v>5</v>
      </c>
      <c r="B6" s="21" t="n">
        <v>45933</v>
      </c>
      <c r="C6" s="20" t="s">
        <v>34</v>
      </c>
      <c r="D6" s="20" t="s">
        <v>31</v>
      </c>
      <c r="E6" s="20" t="s">
        <v>32</v>
      </c>
      <c r="F6" s="22" t="n">
        <v>34.24</v>
      </c>
      <c r="G6" s="20" t="s">
        <v>35</v>
      </c>
      <c r="H6" s="23" t="n">
        <f aca="false">DATE(YEAR(B6),MONTH(B6),1)</f>
        <v>45931</v>
      </c>
    </row>
    <row r="7" customFormat="false" ht="15" hidden="false" customHeight="false" outlineLevel="0" collapsed="false">
      <c r="A7" s="20" t="n">
        <v>6</v>
      </c>
      <c r="B7" s="21" t="n">
        <v>45934</v>
      </c>
      <c r="C7" s="20" t="s">
        <v>40</v>
      </c>
      <c r="D7" s="20" t="s">
        <v>37</v>
      </c>
      <c r="E7" s="20" t="s">
        <v>32</v>
      </c>
      <c r="F7" s="22" t="n">
        <v>237.97</v>
      </c>
      <c r="G7" s="20" t="s">
        <v>33</v>
      </c>
      <c r="H7" s="23" t="n">
        <f aca="false">DATE(YEAR(B7),MONTH(B7),1)</f>
        <v>45931</v>
      </c>
    </row>
    <row r="8" customFormat="false" ht="15" hidden="false" customHeight="false" outlineLevel="0" collapsed="false">
      <c r="A8" s="20" t="n">
        <v>7</v>
      </c>
      <c r="B8" s="21" t="n">
        <v>45934</v>
      </c>
      <c r="C8" s="20" t="s">
        <v>41</v>
      </c>
      <c r="D8" s="20" t="s">
        <v>39</v>
      </c>
      <c r="E8" s="20" t="s">
        <v>32</v>
      </c>
      <c r="F8" s="22" t="n">
        <v>38.77</v>
      </c>
      <c r="G8" s="20" t="s">
        <v>35</v>
      </c>
      <c r="H8" s="23" t="n">
        <f aca="false">DATE(YEAR(B8),MONTH(B8),1)</f>
        <v>45931</v>
      </c>
    </row>
    <row r="9" customFormat="false" ht="15" hidden="false" customHeight="false" outlineLevel="0" collapsed="false">
      <c r="A9" s="20" t="n">
        <v>8</v>
      </c>
      <c r="B9" s="21" t="n">
        <v>45934</v>
      </c>
      <c r="C9" s="20" t="s">
        <v>42</v>
      </c>
      <c r="D9" s="20" t="s">
        <v>39</v>
      </c>
      <c r="E9" s="20" t="s">
        <v>32</v>
      </c>
      <c r="F9" s="22" t="n">
        <v>66.87</v>
      </c>
      <c r="G9" s="20" t="s">
        <v>35</v>
      </c>
      <c r="H9" s="23" t="n">
        <f aca="false">DATE(YEAR(B9),MONTH(B9),1)</f>
        <v>45931</v>
      </c>
    </row>
    <row r="10" customFormat="false" ht="15" hidden="false" customHeight="false" outlineLevel="0" collapsed="false">
      <c r="A10" s="20" t="n">
        <v>9</v>
      </c>
      <c r="B10" s="21" t="n">
        <v>45935</v>
      </c>
      <c r="C10" s="20" t="s">
        <v>43</v>
      </c>
      <c r="D10" s="20" t="s">
        <v>43</v>
      </c>
      <c r="E10" s="20" t="s">
        <v>44</v>
      </c>
      <c r="F10" s="22" t="n">
        <v>5600</v>
      </c>
      <c r="G10" s="20" t="s">
        <v>33</v>
      </c>
      <c r="H10" s="23" t="n">
        <f aca="false">DATE(YEAR(B10),MONTH(B10),1)</f>
        <v>45931</v>
      </c>
    </row>
    <row r="11" customFormat="false" ht="15" hidden="false" customHeight="false" outlineLevel="0" collapsed="false">
      <c r="A11" s="20" t="n">
        <v>10</v>
      </c>
      <c r="B11" s="21" t="n">
        <v>45935</v>
      </c>
      <c r="C11" s="20" t="s">
        <v>41</v>
      </c>
      <c r="D11" s="20" t="s">
        <v>39</v>
      </c>
      <c r="E11" s="20" t="s">
        <v>32</v>
      </c>
      <c r="F11" s="22" t="n">
        <v>47.72</v>
      </c>
      <c r="G11" s="20" t="s">
        <v>33</v>
      </c>
      <c r="H11" s="23" t="n">
        <f aca="false">DATE(YEAR(B11),MONTH(B11),1)</f>
        <v>45931</v>
      </c>
    </row>
    <row r="12" customFormat="false" ht="15" hidden="false" customHeight="false" outlineLevel="0" collapsed="false">
      <c r="A12" s="20" t="n">
        <v>11</v>
      </c>
      <c r="B12" s="21" t="n">
        <v>45936</v>
      </c>
      <c r="C12" s="20" t="s">
        <v>45</v>
      </c>
      <c r="D12" s="20" t="s">
        <v>46</v>
      </c>
      <c r="E12" s="20" t="s">
        <v>32</v>
      </c>
      <c r="F12" s="22" t="n">
        <v>59.9</v>
      </c>
      <c r="G12" s="20" t="s">
        <v>35</v>
      </c>
      <c r="H12" s="23" t="n">
        <f aca="false">DATE(YEAR(B12),MONTH(B12),1)</f>
        <v>45931</v>
      </c>
    </row>
    <row r="13" customFormat="false" ht="15" hidden="false" customHeight="false" outlineLevel="0" collapsed="false">
      <c r="A13" s="20" t="n">
        <v>12</v>
      </c>
      <c r="B13" s="21" t="n">
        <v>45936</v>
      </c>
      <c r="C13" s="20" t="s">
        <v>47</v>
      </c>
      <c r="D13" s="20" t="s">
        <v>48</v>
      </c>
      <c r="E13" s="20" t="s">
        <v>32</v>
      </c>
      <c r="F13" s="22" t="n">
        <v>86.19</v>
      </c>
      <c r="G13" s="20" t="s">
        <v>49</v>
      </c>
      <c r="H13" s="23" t="n">
        <f aca="false">DATE(YEAR(B13),MONTH(B13),1)</f>
        <v>45931</v>
      </c>
    </row>
    <row r="14" customFormat="false" ht="15" hidden="false" customHeight="false" outlineLevel="0" collapsed="false">
      <c r="A14" s="20" t="n">
        <v>13</v>
      </c>
      <c r="B14" s="21" t="n">
        <v>45937</v>
      </c>
      <c r="C14" s="20" t="s">
        <v>34</v>
      </c>
      <c r="D14" s="20" t="s">
        <v>31</v>
      </c>
      <c r="E14" s="20" t="s">
        <v>32</v>
      </c>
      <c r="F14" s="22" t="n">
        <v>30.32</v>
      </c>
      <c r="G14" s="20" t="s">
        <v>35</v>
      </c>
      <c r="H14" s="23" t="n">
        <f aca="false">DATE(YEAR(B14),MONTH(B14),1)</f>
        <v>45931</v>
      </c>
    </row>
    <row r="15" customFormat="false" ht="15" hidden="false" customHeight="false" outlineLevel="0" collapsed="false">
      <c r="A15" s="20" t="n">
        <v>14</v>
      </c>
      <c r="B15" s="21" t="n">
        <v>45938</v>
      </c>
      <c r="C15" s="20" t="s">
        <v>50</v>
      </c>
      <c r="D15" s="20" t="s">
        <v>51</v>
      </c>
      <c r="E15" s="20" t="s">
        <v>32</v>
      </c>
      <c r="F15" s="22" t="n">
        <v>1350</v>
      </c>
      <c r="G15" s="20" t="s">
        <v>52</v>
      </c>
      <c r="H15" s="23" t="n">
        <f aca="false">DATE(YEAR(B15),MONTH(B15),1)</f>
        <v>45931</v>
      </c>
    </row>
    <row r="16" customFormat="false" ht="15" hidden="false" customHeight="false" outlineLevel="0" collapsed="false">
      <c r="A16" s="20" t="n">
        <v>15</v>
      </c>
      <c r="B16" s="21" t="n">
        <v>45938</v>
      </c>
      <c r="C16" s="20" t="s">
        <v>53</v>
      </c>
      <c r="D16" s="20" t="s">
        <v>51</v>
      </c>
      <c r="E16" s="20" t="s">
        <v>32</v>
      </c>
      <c r="F16" s="22" t="n">
        <v>250</v>
      </c>
      <c r="G16" s="20" t="s">
        <v>52</v>
      </c>
      <c r="H16" s="23" t="n">
        <f aca="false">DATE(YEAR(B16),MONTH(B16),1)</f>
        <v>45931</v>
      </c>
    </row>
    <row r="17" customFormat="false" ht="15" hidden="false" customHeight="false" outlineLevel="0" collapsed="false">
      <c r="A17" s="20" t="n">
        <v>16</v>
      </c>
      <c r="B17" s="21" t="n">
        <v>45939</v>
      </c>
      <c r="C17" s="20" t="s">
        <v>42</v>
      </c>
      <c r="D17" s="20" t="s">
        <v>39</v>
      </c>
      <c r="E17" s="20" t="s">
        <v>32</v>
      </c>
      <c r="F17" s="22" t="n">
        <v>59.9</v>
      </c>
      <c r="G17" s="20" t="s">
        <v>35</v>
      </c>
      <c r="H17" s="23" t="n">
        <f aca="false">DATE(YEAR(B17),MONTH(B17),1)</f>
        <v>45931</v>
      </c>
    </row>
    <row r="18" customFormat="false" ht="15" hidden="false" customHeight="false" outlineLevel="0" collapsed="false">
      <c r="A18" s="20" t="n">
        <v>17</v>
      </c>
      <c r="B18" s="21" t="n">
        <v>45940</v>
      </c>
      <c r="C18" s="20" t="s">
        <v>54</v>
      </c>
      <c r="D18" s="20" t="s">
        <v>51</v>
      </c>
      <c r="E18" s="20" t="s">
        <v>32</v>
      </c>
      <c r="F18" s="22" t="n">
        <v>99.9</v>
      </c>
      <c r="G18" s="20" t="s">
        <v>49</v>
      </c>
      <c r="H18" s="23" t="n">
        <f aca="false">DATE(YEAR(B18),MONTH(B18),1)</f>
        <v>45931</v>
      </c>
    </row>
    <row r="19" customFormat="false" ht="15" hidden="false" customHeight="false" outlineLevel="0" collapsed="false">
      <c r="A19" s="20" t="n">
        <v>18</v>
      </c>
      <c r="B19" s="21" t="n">
        <v>45942</v>
      </c>
      <c r="C19" s="20" t="s">
        <v>55</v>
      </c>
      <c r="D19" s="20" t="s">
        <v>56</v>
      </c>
      <c r="E19" s="20" t="s">
        <v>32</v>
      </c>
      <c r="F19" s="22" t="n">
        <v>39.9</v>
      </c>
      <c r="G19" s="20" t="s">
        <v>35</v>
      </c>
      <c r="H19" s="23" t="n">
        <f aca="false">DATE(YEAR(B19),MONTH(B19),1)</f>
        <v>45931</v>
      </c>
    </row>
    <row r="20" customFormat="false" ht="15" hidden="false" customHeight="false" outlineLevel="0" collapsed="false">
      <c r="A20" s="20" t="n">
        <v>19</v>
      </c>
      <c r="B20" s="21" t="n">
        <v>45943</v>
      </c>
      <c r="C20" s="20" t="s">
        <v>42</v>
      </c>
      <c r="D20" s="20" t="s">
        <v>39</v>
      </c>
      <c r="E20" s="20" t="s">
        <v>32</v>
      </c>
      <c r="F20" s="22" t="n">
        <v>29.31</v>
      </c>
      <c r="G20" s="20" t="s">
        <v>35</v>
      </c>
      <c r="H20" s="23" t="n">
        <f aca="false">DATE(YEAR(B20),MONTH(B20),1)</f>
        <v>45931</v>
      </c>
    </row>
    <row r="21" customFormat="false" ht="15" hidden="false" customHeight="false" outlineLevel="0" collapsed="false">
      <c r="A21" s="20" t="n">
        <v>20</v>
      </c>
      <c r="B21" s="21" t="n">
        <v>45943</v>
      </c>
      <c r="C21" s="20" t="s">
        <v>47</v>
      </c>
      <c r="D21" s="20" t="s">
        <v>48</v>
      </c>
      <c r="E21" s="20" t="s">
        <v>32</v>
      </c>
      <c r="F21" s="22" t="n">
        <v>98.94</v>
      </c>
      <c r="G21" s="20" t="s">
        <v>33</v>
      </c>
      <c r="H21" s="23" t="n">
        <f aca="false">DATE(YEAR(B21),MONTH(B21),1)</f>
        <v>45931</v>
      </c>
    </row>
    <row r="22" customFormat="false" ht="15" hidden="false" customHeight="false" outlineLevel="0" collapsed="false">
      <c r="A22" s="20" t="n">
        <v>21</v>
      </c>
      <c r="B22" s="21" t="n">
        <v>45944</v>
      </c>
      <c r="C22" s="20" t="s">
        <v>57</v>
      </c>
      <c r="D22" s="20" t="s">
        <v>56</v>
      </c>
      <c r="E22" s="20" t="s">
        <v>32</v>
      </c>
      <c r="F22" s="22" t="n">
        <v>21.9</v>
      </c>
      <c r="G22" s="20" t="s">
        <v>35</v>
      </c>
      <c r="H22" s="23" t="n">
        <f aca="false">DATE(YEAR(B22),MONTH(B22),1)</f>
        <v>45931</v>
      </c>
    </row>
    <row r="23" customFormat="false" ht="15" hidden="false" customHeight="false" outlineLevel="0" collapsed="false">
      <c r="A23" s="20" t="n">
        <v>22</v>
      </c>
      <c r="B23" s="21" t="n">
        <v>45944</v>
      </c>
      <c r="C23" s="20" t="s">
        <v>38</v>
      </c>
      <c r="D23" s="20" t="s">
        <v>39</v>
      </c>
      <c r="E23" s="20" t="s">
        <v>32</v>
      </c>
      <c r="F23" s="22" t="n">
        <v>105.27</v>
      </c>
      <c r="G23" s="20" t="s">
        <v>33</v>
      </c>
      <c r="H23" s="23" t="n">
        <f aca="false">DATE(YEAR(B23),MONTH(B23),1)</f>
        <v>45931</v>
      </c>
    </row>
    <row r="24" customFormat="false" ht="15" hidden="false" customHeight="false" outlineLevel="0" collapsed="false">
      <c r="A24" s="20" t="n">
        <v>23</v>
      </c>
      <c r="B24" s="21" t="n">
        <v>45945</v>
      </c>
      <c r="C24" s="20" t="s">
        <v>58</v>
      </c>
      <c r="D24" s="20" t="s">
        <v>51</v>
      </c>
      <c r="E24" s="20" t="s">
        <v>32</v>
      </c>
      <c r="F24" s="22" t="n">
        <v>107</v>
      </c>
      <c r="G24" s="20" t="s">
        <v>52</v>
      </c>
      <c r="H24" s="23" t="n">
        <f aca="false">DATE(YEAR(B24),MONTH(B24),1)</f>
        <v>45931</v>
      </c>
    </row>
    <row r="25" customFormat="false" ht="15" hidden="false" customHeight="false" outlineLevel="0" collapsed="false">
      <c r="A25" s="20" t="n">
        <v>24</v>
      </c>
      <c r="B25" s="21" t="n">
        <v>45948</v>
      </c>
      <c r="C25" s="20" t="s">
        <v>59</v>
      </c>
      <c r="D25" s="20" t="s">
        <v>60</v>
      </c>
      <c r="E25" s="20" t="s">
        <v>32</v>
      </c>
      <c r="F25" s="22" t="n">
        <v>30.58</v>
      </c>
      <c r="G25" s="20" t="s">
        <v>33</v>
      </c>
      <c r="H25" s="23" t="n">
        <f aca="false">DATE(YEAR(B25),MONTH(B25),1)</f>
        <v>45931</v>
      </c>
    </row>
    <row r="26" customFormat="false" ht="15" hidden="false" customHeight="false" outlineLevel="0" collapsed="false">
      <c r="A26" s="20" t="n">
        <v>25</v>
      </c>
      <c r="B26" s="21" t="n">
        <v>45949</v>
      </c>
      <c r="C26" s="20" t="s">
        <v>38</v>
      </c>
      <c r="D26" s="20" t="s">
        <v>39</v>
      </c>
      <c r="E26" s="20" t="s">
        <v>32</v>
      </c>
      <c r="F26" s="22" t="n">
        <v>137.51</v>
      </c>
      <c r="G26" s="20" t="s">
        <v>49</v>
      </c>
      <c r="H26" s="23" t="n">
        <f aca="false">DATE(YEAR(B26),MONTH(B26),1)</f>
        <v>45931</v>
      </c>
    </row>
    <row r="27" customFormat="false" ht="15" hidden="false" customHeight="false" outlineLevel="0" collapsed="false">
      <c r="A27" s="20" t="n">
        <v>26</v>
      </c>
      <c r="B27" s="21" t="n">
        <v>45950</v>
      </c>
      <c r="C27" s="20" t="s">
        <v>38</v>
      </c>
      <c r="D27" s="20" t="s">
        <v>39</v>
      </c>
      <c r="E27" s="20" t="s">
        <v>32</v>
      </c>
      <c r="F27" s="22" t="n">
        <v>74.25</v>
      </c>
      <c r="G27" s="20" t="s">
        <v>49</v>
      </c>
      <c r="H27" s="23" t="n">
        <f aca="false">DATE(YEAR(B27),MONTH(B27),1)</f>
        <v>45931</v>
      </c>
    </row>
    <row r="28" customFormat="false" ht="15" hidden="false" customHeight="false" outlineLevel="0" collapsed="false">
      <c r="A28" s="20" t="n">
        <v>27</v>
      </c>
      <c r="B28" s="21" t="n">
        <v>45953</v>
      </c>
      <c r="C28" s="20" t="s">
        <v>38</v>
      </c>
      <c r="D28" s="20" t="s">
        <v>39</v>
      </c>
      <c r="E28" s="20" t="s">
        <v>32</v>
      </c>
      <c r="F28" s="22" t="n">
        <v>173.98</v>
      </c>
      <c r="G28" s="20" t="s">
        <v>33</v>
      </c>
      <c r="H28" s="23" t="n">
        <f aca="false">DATE(YEAR(B28),MONTH(B28),1)</f>
        <v>45931</v>
      </c>
    </row>
    <row r="29" customFormat="false" ht="15" hidden="false" customHeight="false" outlineLevel="0" collapsed="false">
      <c r="A29" s="20" t="n">
        <v>28</v>
      </c>
      <c r="B29" s="21" t="n">
        <v>45953</v>
      </c>
      <c r="C29" s="20" t="s">
        <v>41</v>
      </c>
      <c r="D29" s="20" t="s">
        <v>39</v>
      </c>
      <c r="E29" s="20" t="s">
        <v>32</v>
      </c>
      <c r="F29" s="22" t="n">
        <v>62.85</v>
      </c>
      <c r="G29" s="20" t="s">
        <v>33</v>
      </c>
      <c r="H29" s="23" t="n">
        <f aca="false">DATE(YEAR(B29),MONTH(B29),1)</f>
        <v>45931</v>
      </c>
    </row>
    <row r="30" customFormat="false" ht="15" hidden="false" customHeight="false" outlineLevel="0" collapsed="false">
      <c r="A30" s="20" t="n">
        <v>29</v>
      </c>
      <c r="B30" s="21" t="n">
        <v>45953</v>
      </c>
      <c r="C30" s="20" t="s">
        <v>61</v>
      </c>
      <c r="D30" s="20" t="s">
        <v>62</v>
      </c>
      <c r="E30" s="20" t="s">
        <v>32</v>
      </c>
      <c r="F30" s="22" t="n">
        <v>222.28</v>
      </c>
      <c r="G30" s="20" t="s">
        <v>35</v>
      </c>
      <c r="H30" s="23" t="n">
        <f aca="false">DATE(YEAR(B30),MONTH(B30),1)</f>
        <v>45931</v>
      </c>
    </row>
    <row r="31" customFormat="false" ht="15" hidden="false" customHeight="false" outlineLevel="0" collapsed="false">
      <c r="A31" s="20" t="n">
        <v>30</v>
      </c>
      <c r="B31" s="21" t="n">
        <v>45954</v>
      </c>
      <c r="C31" s="20" t="s">
        <v>42</v>
      </c>
      <c r="D31" s="20" t="s">
        <v>39</v>
      </c>
      <c r="E31" s="20" t="s">
        <v>32</v>
      </c>
      <c r="F31" s="22" t="n">
        <v>45.3</v>
      </c>
      <c r="G31" s="20" t="s">
        <v>35</v>
      </c>
      <c r="H31" s="23" t="n">
        <f aca="false">DATE(YEAR(B31),MONTH(B31),1)</f>
        <v>45931</v>
      </c>
    </row>
    <row r="32" customFormat="false" ht="15" hidden="false" customHeight="false" outlineLevel="0" collapsed="false">
      <c r="A32" s="20" t="n">
        <v>31</v>
      </c>
      <c r="B32" s="21" t="n">
        <v>45955</v>
      </c>
      <c r="C32" s="20" t="s">
        <v>34</v>
      </c>
      <c r="D32" s="20" t="s">
        <v>31</v>
      </c>
      <c r="E32" s="20" t="s">
        <v>32</v>
      </c>
      <c r="F32" s="22" t="n">
        <v>19.52</v>
      </c>
      <c r="G32" s="20" t="s">
        <v>35</v>
      </c>
      <c r="H32" s="23" t="n">
        <f aca="false">DATE(YEAR(B32),MONTH(B32),1)</f>
        <v>45931</v>
      </c>
    </row>
    <row r="33" customFormat="false" ht="15" hidden="false" customHeight="false" outlineLevel="0" collapsed="false">
      <c r="A33" s="20" t="n">
        <v>32</v>
      </c>
      <c r="B33" s="21" t="n">
        <v>45956</v>
      </c>
      <c r="C33" s="20" t="s">
        <v>41</v>
      </c>
      <c r="D33" s="20" t="s">
        <v>39</v>
      </c>
      <c r="E33" s="20" t="s">
        <v>32</v>
      </c>
      <c r="F33" s="22" t="n">
        <v>95.46</v>
      </c>
      <c r="G33" s="20" t="s">
        <v>35</v>
      </c>
      <c r="H33" s="23" t="n">
        <f aca="false">DATE(YEAR(B33),MONTH(B33),1)</f>
        <v>45931</v>
      </c>
    </row>
    <row r="34" customFormat="false" ht="15" hidden="false" customHeight="false" outlineLevel="0" collapsed="false">
      <c r="A34" s="20" t="n">
        <v>33</v>
      </c>
      <c r="B34" s="21" t="n">
        <v>45957</v>
      </c>
      <c r="C34" s="20" t="s">
        <v>34</v>
      </c>
      <c r="D34" s="20" t="s">
        <v>31</v>
      </c>
      <c r="E34" s="20" t="s">
        <v>32</v>
      </c>
      <c r="F34" s="22" t="n">
        <v>28.34</v>
      </c>
      <c r="G34" s="20" t="s">
        <v>35</v>
      </c>
      <c r="H34" s="23" t="n">
        <f aca="false">DATE(YEAR(B34),MONTH(B34),1)</f>
        <v>45931</v>
      </c>
    </row>
    <row r="35" customFormat="false" ht="15" hidden="false" customHeight="false" outlineLevel="0" collapsed="false">
      <c r="A35" s="20" t="n">
        <v>34</v>
      </c>
      <c r="B35" s="21" t="n">
        <v>45958</v>
      </c>
      <c r="C35" s="20" t="s">
        <v>63</v>
      </c>
      <c r="D35" s="20" t="s">
        <v>64</v>
      </c>
      <c r="E35" s="20" t="s">
        <v>44</v>
      </c>
      <c r="F35" s="22" t="n">
        <v>18.75</v>
      </c>
      <c r="G35" s="20" t="s">
        <v>33</v>
      </c>
      <c r="H35" s="23" t="n">
        <f aca="false">DATE(YEAR(B35),MONTH(B35),1)</f>
        <v>45931</v>
      </c>
    </row>
    <row r="36" customFormat="false" ht="15" hidden="false" customHeight="false" outlineLevel="0" collapsed="false">
      <c r="A36" s="20" t="n">
        <v>35</v>
      </c>
      <c r="B36" s="21" t="n">
        <v>45958</v>
      </c>
      <c r="C36" s="20" t="s">
        <v>42</v>
      </c>
      <c r="D36" s="20" t="s">
        <v>39</v>
      </c>
      <c r="E36" s="20" t="s">
        <v>32</v>
      </c>
      <c r="F36" s="22" t="n">
        <v>40.45</v>
      </c>
      <c r="G36" s="20" t="s">
        <v>35</v>
      </c>
      <c r="H36" s="23" t="n">
        <f aca="false">DATE(YEAR(B36),MONTH(B36),1)</f>
        <v>45931</v>
      </c>
    </row>
    <row r="37" customFormat="false" ht="15" hidden="false" customHeight="false" outlineLevel="0" collapsed="false">
      <c r="A37" s="20" t="n">
        <v>36</v>
      </c>
      <c r="B37" s="21" t="n">
        <v>45958</v>
      </c>
      <c r="C37" s="20" t="s">
        <v>34</v>
      </c>
      <c r="D37" s="20" t="s">
        <v>31</v>
      </c>
      <c r="E37" s="20" t="s">
        <v>32</v>
      </c>
      <c r="F37" s="22" t="n">
        <v>21.4</v>
      </c>
      <c r="G37" s="20" t="s">
        <v>35</v>
      </c>
      <c r="H37" s="23" t="n">
        <f aca="false">DATE(YEAR(B37),MONTH(B37),1)</f>
        <v>45931</v>
      </c>
    </row>
    <row r="38" customFormat="false" ht="15" hidden="false" customHeight="false" outlineLevel="0" collapsed="false">
      <c r="A38" s="20" t="n">
        <v>37</v>
      </c>
      <c r="B38" s="21" t="n">
        <v>45962</v>
      </c>
      <c r="C38" s="20" t="s">
        <v>42</v>
      </c>
      <c r="D38" s="20" t="s">
        <v>39</v>
      </c>
      <c r="E38" s="20" t="s">
        <v>32</v>
      </c>
      <c r="F38" s="22" t="n">
        <v>54.57</v>
      </c>
      <c r="G38" s="20" t="s">
        <v>35</v>
      </c>
      <c r="H38" s="23" t="n">
        <f aca="false">DATE(YEAR(B38),MONTH(B38),1)</f>
        <v>45962</v>
      </c>
    </row>
    <row r="39" customFormat="false" ht="15" hidden="false" customHeight="false" outlineLevel="0" collapsed="false">
      <c r="A39" s="20" t="n">
        <v>38</v>
      </c>
      <c r="B39" s="21" t="n">
        <v>45963</v>
      </c>
      <c r="C39" s="20" t="s">
        <v>30</v>
      </c>
      <c r="D39" s="20" t="s">
        <v>31</v>
      </c>
      <c r="E39" s="20" t="s">
        <v>32</v>
      </c>
      <c r="F39" s="22" t="n">
        <v>150</v>
      </c>
      <c r="G39" s="20" t="s">
        <v>33</v>
      </c>
      <c r="H39" s="23" t="n">
        <f aca="false">DATE(YEAR(B39),MONTH(B39),1)</f>
        <v>45962</v>
      </c>
    </row>
    <row r="40" customFormat="false" ht="15" hidden="false" customHeight="false" outlineLevel="0" collapsed="false">
      <c r="A40" s="20" t="n">
        <v>39</v>
      </c>
      <c r="B40" s="21" t="n">
        <v>45964</v>
      </c>
      <c r="C40" s="20" t="s">
        <v>36</v>
      </c>
      <c r="D40" s="20" t="s">
        <v>37</v>
      </c>
      <c r="E40" s="20" t="s">
        <v>32</v>
      </c>
      <c r="F40" s="22" t="n">
        <v>109.9</v>
      </c>
      <c r="G40" s="20" t="s">
        <v>35</v>
      </c>
      <c r="H40" s="23" t="n">
        <f aca="false">DATE(YEAR(B40),MONTH(B40),1)</f>
        <v>45962</v>
      </c>
    </row>
    <row r="41" customFormat="false" ht="15" hidden="false" customHeight="false" outlineLevel="0" collapsed="false">
      <c r="A41" s="20" t="n">
        <v>40</v>
      </c>
      <c r="B41" s="21" t="n">
        <v>45965</v>
      </c>
      <c r="C41" s="20" t="s">
        <v>42</v>
      </c>
      <c r="D41" s="20" t="s">
        <v>39</v>
      </c>
      <c r="E41" s="20" t="s">
        <v>32</v>
      </c>
      <c r="F41" s="22" t="n">
        <v>54.63</v>
      </c>
      <c r="G41" s="20" t="s">
        <v>35</v>
      </c>
      <c r="H41" s="23" t="n">
        <f aca="false">DATE(YEAR(B41),MONTH(B41),1)</f>
        <v>45962</v>
      </c>
    </row>
    <row r="42" customFormat="false" ht="15" hidden="false" customHeight="false" outlineLevel="0" collapsed="false">
      <c r="A42" s="20" t="n">
        <v>41</v>
      </c>
      <c r="B42" s="21" t="n">
        <v>45965</v>
      </c>
      <c r="C42" s="20" t="s">
        <v>65</v>
      </c>
      <c r="D42" s="20" t="s">
        <v>62</v>
      </c>
      <c r="E42" s="20" t="s">
        <v>32</v>
      </c>
      <c r="F42" s="22" t="n">
        <v>289.68</v>
      </c>
      <c r="G42" s="20" t="s">
        <v>35</v>
      </c>
      <c r="H42" s="23" t="n">
        <f aca="false">DATE(YEAR(B42),MONTH(B42),1)</f>
        <v>45962</v>
      </c>
    </row>
    <row r="43" customFormat="false" ht="15" hidden="false" customHeight="false" outlineLevel="0" collapsed="false">
      <c r="A43" s="20" t="n">
        <v>42</v>
      </c>
      <c r="B43" s="21" t="n">
        <v>45966</v>
      </c>
      <c r="C43" s="20" t="s">
        <v>43</v>
      </c>
      <c r="D43" s="20" t="s">
        <v>43</v>
      </c>
      <c r="E43" s="20" t="s">
        <v>44</v>
      </c>
      <c r="F43" s="22" t="n">
        <v>5600</v>
      </c>
      <c r="G43" s="20" t="s">
        <v>33</v>
      </c>
      <c r="H43" s="23" t="n">
        <f aca="false">DATE(YEAR(B43),MONTH(B43),1)</f>
        <v>45962</v>
      </c>
    </row>
    <row r="44" customFormat="false" ht="15" hidden="false" customHeight="false" outlineLevel="0" collapsed="false">
      <c r="A44" s="20" t="n">
        <v>43</v>
      </c>
      <c r="B44" s="21" t="n">
        <v>45967</v>
      </c>
      <c r="C44" s="20" t="s">
        <v>45</v>
      </c>
      <c r="D44" s="20" t="s">
        <v>46</v>
      </c>
      <c r="E44" s="20" t="s">
        <v>32</v>
      </c>
      <c r="F44" s="22" t="n">
        <v>59.9</v>
      </c>
      <c r="G44" s="20" t="s">
        <v>35</v>
      </c>
      <c r="H44" s="23" t="n">
        <f aca="false">DATE(YEAR(B44),MONTH(B44),1)</f>
        <v>45962</v>
      </c>
    </row>
    <row r="45" customFormat="false" ht="15" hidden="false" customHeight="false" outlineLevel="0" collapsed="false">
      <c r="A45" s="20" t="n">
        <v>44</v>
      </c>
      <c r="B45" s="21" t="n">
        <v>45967</v>
      </c>
      <c r="C45" s="20" t="s">
        <v>41</v>
      </c>
      <c r="D45" s="20" t="s">
        <v>39</v>
      </c>
      <c r="E45" s="20" t="s">
        <v>32</v>
      </c>
      <c r="F45" s="22" t="n">
        <v>89.82</v>
      </c>
      <c r="G45" s="20" t="s">
        <v>33</v>
      </c>
      <c r="H45" s="23" t="n">
        <f aca="false">DATE(YEAR(B45),MONTH(B45),1)</f>
        <v>45962</v>
      </c>
    </row>
    <row r="46" customFormat="false" ht="15" hidden="false" customHeight="false" outlineLevel="0" collapsed="false">
      <c r="A46" s="20" t="n">
        <v>45</v>
      </c>
      <c r="B46" s="21" t="n">
        <v>45969</v>
      </c>
      <c r="C46" s="20" t="s">
        <v>50</v>
      </c>
      <c r="D46" s="20" t="s">
        <v>51</v>
      </c>
      <c r="E46" s="20" t="s">
        <v>32</v>
      </c>
      <c r="F46" s="22" t="n">
        <v>1350</v>
      </c>
      <c r="G46" s="20" t="s">
        <v>52</v>
      </c>
      <c r="H46" s="23" t="n">
        <f aca="false">DATE(YEAR(B46),MONTH(B46),1)</f>
        <v>45962</v>
      </c>
    </row>
    <row r="47" customFormat="false" ht="15" hidden="false" customHeight="false" outlineLevel="0" collapsed="false">
      <c r="A47" s="20" t="n">
        <v>46</v>
      </c>
      <c r="B47" s="21" t="n">
        <v>45969</v>
      </c>
      <c r="C47" s="20" t="s">
        <v>53</v>
      </c>
      <c r="D47" s="20" t="s">
        <v>51</v>
      </c>
      <c r="E47" s="20" t="s">
        <v>32</v>
      </c>
      <c r="F47" s="22" t="n">
        <v>250</v>
      </c>
      <c r="G47" s="20" t="s">
        <v>52</v>
      </c>
      <c r="H47" s="23" t="n">
        <f aca="false">DATE(YEAR(B47),MONTH(B47),1)</f>
        <v>45962</v>
      </c>
    </row>
    <row r="48" customFormat="false" ht="15" hidden="false" customHeight="false" outlineLevel="0" collapsed="false">
      <c r="A48" s="20" t="n">
        <v>47</v>
      </c>
      <c r="B48" s="21" t="n">
        <v>45969</v>
      </c>
      <c r="C48" s="20" t="s">
        <v>38</v>
      </c>
      <c r="D48" s="20" t="s">
        <v>39</v>
      </c>
      <c r="E48" s="20" t="s">
        <v>32</v>
      </c>
      <c r="F48" s="22" t="n">
        <v>189.2</v>
      </c>
      <c r="G48" s="20" t="s">
        <v>33</v>
      </c>
      <c r="H48" s="23" t="n">
        <f aca="false">DATE(YEAR(B48),MONTH(B48),1)</f>
        <v>45962</v>
      </c>
    </row>
    <row r="49" customFormat="false" ht="15" hidden="false" customHeight="false" outlineLevel="0" collapsed="false">
      <c r="A49" s="20" t="n">
        <v>48</v>
      </c>
      <c r="B49" s="21" t="n">
        <v>45970</v>
      </c>
      <c r="C49" s="20" t="s">
        <v>38</v>
      </c>
      <c r="D49" s="20" t="s">
        <v>39</v>
      </c>
      <c r="E49" s="20" t="s">
        <v>32</v>
      </c>
      <c r="F49" s="22" t="n">
        <v>80.59</v>
      </c>
      <c r="G49" s="20" t="s">
        <v>33</v>
      </c>
      <c r="H49" s="23" t="n">
        <f aca="false">DATE(YEAR(B49),MONTH(B49),1)</f>
        <v>45962</v>
      </c>
    </row>
    <row r="50" customFormat="false" ht="15" hidden="false" customHeight="false" outlineLevel="0" collapsed="false">
      <c r="A50" s="20" t="n">
        <v>49</v>
      </c>
      <c r="B50" s="21" t="n">
        <v>45970</v>
      </c>
      <c r="C50" s="20" t="s">
        <v>38</v>
      </c>
      <c r="D50" s="20" t="s">
        <v>39</v>
      </c>
      <c r="E50" s="20" t="s">
        <v>32</v>
      </c>
      <c r="F50" s="22" t="n">
        <v>189.52</v>
      </c>
      <c r="G50" s="20" t="s">
        <v>35</v>
      </c>
      <c r="H50" s="23" t="n">
        <f aca="false">DATE(YEAR(B50),MONTH(B50),1)</f>
        <v>45962</v>
      </c>
    </row>
    <row r="51" customFormat="false" ht="15" hidden="false" customHeight="false" outlineLevel="0" collapsed="false">
      <c r="A51" s="20" t="n">
        <v>50</v>
      </c>
      <c r="B51" s="21" t="n">
        <v>45970</v>
      </c>
      <c r="C51" s="20" t="s">
        <v>34</v>
      </c>
      <c r="D51" s="20" t="s">
        <v>31</v>
      </c>
      <c r="E51" s="20" t="s">
        <v>32</v>
      </c>
      <c r="F51" s="22" t="n">
        <v>37.27</v>
      </c>
      <c r="G51" s="20" t="s">
        <v>35</v>
      </c>
      <c r="H51" s="23" t="n">
        <f aca="false">DATE(YEAR(B51),MONTH(B51),1)</f>
        <v>45962</v>
      </c>
    </row>
    <row r="52" customFormat="false" ht="15" hidden="false" customHeight="false" outlineLevel="0" collapsed="false">
      <c r="A52" s="20" t="n">
        <v>51</v>
      </c>
      <c r="B52" s="21" t="n">
        <v>45971</v>
      </c>
      <c r="C52" s="20" t="s">
        <v>54</v>
      </c>
      <c r="D52" s="20" t="s">
        <v>51</v>
      </c>
      <c r="E52" s="20" t="s">
        <v>32</v>
      </c>
      <c r="F52" s="22" t="n">
        <v>99.9</v>
      </c>
      <c r="G52" s="20" t="s">
        <v>49</v>
      </c>
      <c r="H52" s="23" t="n">
        <f aca="false">DATE(YEAR(B52),MONTH(B52),1)</f>
        <v>45962</v>
      </c>
    </row>
    <row r="53" customFormat="false" ht="15" hidden="false" customHeight="false" outlineLevel="0" collapsed="false">
      <c r="A53" s="20" t="n">
        <v>52</v>
      </c>
      <c r="B53" s="21" t="n">
        <v>45971</v>
      </c>
      <c r="C53" s="20" t="s">
        <v>34</v>
      </c>
      <c r="D53" s="20" t="s">
        <v>31</v>
      </c>
      <c r="E53" s="20" t="s">
        <v>32</v>
      </c>
      <c r="F53" s="22" t="n">
        <v>23.3</v>
      </c>
      <c r="G53" s="20" t="s">
        <v>35</v>
      </c>
      <c r="H53" s="23" t="n">
        <f aca="false">DATE(YEAR(B53),MONTH(B53),1)</f>
        <v>45962</v>
      </c>
    </row>
    <row r="54" customFormat="false" ht="15" hidden="false" customHeight="false" outlineLevel="0" collapsed="false">
      <c r="A54" s="20" t="n">
        <v>53</v>
      </c>
      <c r="B54" s="21" t="n">
        <v>45973</v>
      </c>
      <c r="C54" s="20" t="s">
        <v>55</v>
      </c>
      <c r="D54" s="20" t="s">
        <v>56</v>
      </c>
      <c r="E54" s="20" t="s">
        <v>32</v>
      </c>
      <c r="F54" s="22" t="n">
        <v>39.9</v>
      </c>
      <c r="G54" s="20" t="s">
        <v>35</v>
      </c>
      <c r="H54" s="23" t="n">
        <f aca="false">DATE(YEAR(B54),MONTH(B54),1)</f>
        <v>45962</v>
      </c>
    </row>
    <row r="55" customFormat="false" ht="15" hidden="false" customHeight="false" outlineLevel="0" collapsed="false">
      <c r="A55" s="20" t="n">
        <v>54</v>
      </c>
      <c r="B55" s="21" t="n">
        <v>45974</v>
      </c>
      <c r="C55" s="20" t="s">
        <v>41</v>
      </c>
      <c r="D55" s="20" t="s">
        <v>39</v>
      </c>
      <c r="E55" s="20" t="s">
        <v>32</v>
      </c>
      <c r="F55" s="22" t="n">
        <v>58.43</v>
      </c>
      <c r="G55" s="20" t="s">
        <v>35</v>
      </c>
      <c r="H55" s="23" t="n">
        <f aca="false">DATE(YEAR(B55),MONTH(B55),1)</f>
        <v>45962</v>
      </c>
    </row>
    <row r="56" customFormat="false" ht="15" hidden="false" customHeight="false" outlineLevel="0" collapsed="false">
      <c r="A56" s="20" t="n">
        <v>55</v>
      </c>
      <c r="B56" s="21" t="n">
        <v>45975</v>
      </c>
      <c r="C56" s="20" t="s">
        <v>57</v>
      </c>
      <c r="D56" s="20" t="s">
        <v>56</v>
      </c>
      <c r="E56" s="20" t="s">
        <v>32</v>
      </c>
      <c r="F56" s="22" t="n">
        <v>21.9</v>
      </c>
      <c r="G56" s="20" t="s">
        <v>35</v>
      </c>
      <c r="H56" s="23" t="n">
        <f aca="false">DATE(YEAR(B56),MONTH(B56),1)</f>
        <v>45962</v>
      </c>
    </row>
    <row r="57" customFormat="false" ht="15" hidden="false" customHeight="false" outlineLevel="0" collapsed="false">
      <c r="A57" s="20" t="n">
        <v>56</v>
      </c>
      <c r="B57" s="21" t="n">
        <v>45976</v>
      </c>
      <c r="C57" s="20" t="s">
        <v>58</v>
      </c>
      <c r="D57" s="20" t="s">
        <v>51</v>
      </c>
      <c r="E57" s="20" t="s">
        <v>32</v>
      </c>
      <c r="F57" s="22" t="n">
        <v>147.08</v>
      </c>
      <c r="G57" s="20" t="s">
        <v>52</v>
      </c>
      <c r="H57" s="23" t="n">
        <f aca="false">DATE(YEAR(B57),MONTH(B57),1)</f>
        <v>45962</v>
      </c>
    </row>
    <row r="58" customFormat="false" ht="15" hidden="false" customHeight="false" outlineLevel="0" collapsed="false">
      <c r="A58" s="20" t="n">
        <v>57</v>
      </c>
      <c r="B58" s="21" t="n">
        <v>45976</v>
      </c>
      <c r="C58" s="20" t="s">
        <v>38</v>
      </c>
      <c r="D58" s="20" t="s">
        <v>39</v>
      </c>
      <c r="E58" s="20" t="s">
        <v>32</v>
      </c>
      <c r="F58" s="22" t="n">
        <v>92.86</v>
      </c>
      <c r="G58" s="20" t="s">
        <v>49</v>
      </c>
      <c r="H58" s="23" t="n">
        <f aca="false">DATE(YEAR(B58),MONTH(B58),1)</f>
        <v>45962</v>
      </c>
    </row>
    <row r="59" customFormat="false" ht="15" hidden="false" customHeight="false" outlineLevel="0" collapsed="false">
      <c r="A59" s="20" t="n">
        <v>58</v>
      </c>
      <c r="B59" s="21" t="n">
        <v>45976</v>
      </c>
      <c r="C59" s="20" t="s">
        <v>34</v>
      </c>
      <c r="D59" s="20" t="s">
        <v>31</v>
      </c>
      <c r="E59" s="20" t="s">
        <v>32</v>
      </c>
      <c r="F59" s="22" t="n">
        <v>12.08</v>
      </c>
      <c r="G59" s="20" t="s">
        <v>35</v>
      </c>
      <c r="H59" s="23" t="n">
        <f aca="false">DATE(YEAR(B59),MONTH(B59),1)</f>
        <v>45962</v>
      </c>
    </row>
    <row r="60" customFormat="false" ht="15" hidden="false" customHeight="false" outlineLevel="0" collapsed="false">
      <c r="A60" s="20" t="n">
        <v>59</v>
      </c>
      <c r="B60" s="21" t="n">
        <v>45977</v>
      </c>
      <c r="C60" s="20" t="s">
        <v>38</v>
      </c>
      <c r="D60" s="20" t="s">
        <v>39</v>
      </c>
      <c r="E60" s="20" t="s">
        <v>32</v>
      </c>
      <c r="F60" s="22" t="n">
        <v>133.3</v>
      </c>
      <c r="G60" s="20" t="s">
        <v>33</v>
      </c>
      <c r="H60" s="23" t="n">
        <f aca="false">DATE(YEAR(B60),MONTH(B60),1)</f>
        <v>45962</v>
      </c>
    </row>
    <row r="61" customFormat="false" ht="15" hidden="false" customHeight="false" outlineLevel="0" collapsed="false">
      <c r="A61" s="20" t="n">
        <v>60</v>
      </c>
      <c r="B61" s="21" t="n">
        <v>45978</v>
      </c>
      <c r="C61" s="20" t="s">
        <v>66</v>
      </c>
      <c r="D61" s="20" t="s">
        <v>67</v>
      </c>
      <c r="E61" s="20" t="s">
        <v>44</v>
      </c>
      <c r="F61" s="22" t="n">
        <v>947.69</v>
      </c>
      <c r="G61" s="20" t="s">
        <v>33</v>
      </c>
      <c r="H61" s="23" t="n">
        <f aca="false">DATE(YEAR(B61),MONTH(B61),1)</f>
        <v>45962</v>
      </c>
    </row>
    <row r="62" customFormat="false" ht="15" hidden="false" customHeight="false" outlineLevel="0" collapsed="false">
      <c r="A62" s="20" t="n">
        <v>61</v>
      </c>
      <c r="B62" s="21" t="n">
        <v>45978</v>
      </c>
      <c r="C62" s="20" t="s">
        <v>41</v>
      </c>
      <c r="D62" s="20" t="s">
        <v>39</v>
      </c>
      <c r="E62" s="20" t="s">
        <v>32</v>
      </c>
      <c r="F62" s="22" t="n">
        <v>68.03</v>
      </c>
      <c r="G62" s="20" t="s">
        <v>35</v>
      </c>
      <c r="H62" s="23" t="n">
        <f aca="false">DATE(YEAR(B62),MONTH(B62),1)</f>
        <v>45962</v>
      </c>
    </row>
    <row r="63" customFormat="false" ht="15" hidden="false" customHeight="false" outlineLevel="0" collapsed="false">
      <c r="A63" s="20" t="n">
        <v>62</v>
      </c>
      <c r="B63" s="21" t="n">
        <v>45978</v>
      </c>
      <c r="C63" s="20" t="s">
        <v>42</v>
      </c>
      <c r="D63" s="20" t="s">
        <v>39</v>
      </c>
      <c r="E63" s="20" t="s">
        <v>32</v>
      </c>
      <c r="F63" s="22" t="n">
        <v>36.56</v>
      </c>
      <c r="G63" s="20" t="s">
        <v>35</v>
      </c>
      <c r="H63" s="23" t="n">
        <f aca="false">DATE(YEAR(B63),MONTH(B63),1)</f>
        <v>45962</v>
      </c>
    </row>
    <row r="64" customFormat="false" ht="15" hidden="false" customHeight="false" outlineLevel="0" collapsed="false">
      <c r="A64" s="20" t="n">
        <v>63</v>
      </c>
      <c r="B64" s="21" t="n">
        <v>45978</v>
      </c>
      <c r="C64" s="20" t="s">
        <v>68</v>
      </c>
      <c r="D64" s="20" t="s">
        <v>48</v>
      </c>
      <c r="E64" s="20" t="s">
        <v>32</v>
      </c>
      <c r="F64" s="22" t="n">
        <v>153.17</v>
      </c>
      <c r="G64" s="20" t="s">
        <v>33</v>
      </c>
      <c r="H64" s="23" t="n">
        <f aca="false">DATE(YEAR(B64),MONTH(B64),1)</f>
        <v>45962</v>
      </c>
    </row>
    <row r="65" customFormat="false" ht="15" hidden="false" customHeight="false" outlineLevel="0" collapsed="false">
      <c r="A65" s="20" t="n">
        <v>64</v>
      </c>
      <c r="B65" s="21" t="n">
        <v>45979</v>
      </c>
      <c r="C65" s="20" t="s">
        <v>42</v>
      </c>
      <c r="D65" s="20" t="s">
        <v>39</v>
      </c>
      <c r="E65" s="20" t="s">
        <v>32</v>
      </c>
      <c r="F65" s="22" t="n">
        <v>62.15</v>
      </c>
      <c r="G65" s="20" t="s">
        <v>35</v>
      </c>
      <c r="H65" s="23" t="n">
        <f aca="false">DATE(YEAR(B65),MONTH(B65),1)</f>
        <v>45962</v>
      </c>
    </row>
    <row r="66" customFormat="false" ht="15" hidden="false" customHeight="false" outlineLevel="0" collapsed="false">
      <c r="A66" s="20" t="n">
        <v>65</v>
      </c>
      <c r="B66" s="21" t="n">
        <v>45979</v>
      </c>
      <c r="C66" s="20" t="s">
        <v>42</v>
      </c>
      <c r="D66" s="20" t="s">
        <v>39</v>
      </c>
      <c r="E66" s="20" t="s">
        <v>32</v>
      </c>
      <c r="F66" s="22" t="n">
        <v>57.54</v>
      </c>
      <c r="G66" s="20" t="s">
        <v>35</v>
      </c>
      <c r="H66" s="23" t="n">
        <f aca="false">DATE(YEAR(B66),MONTH(B66),1)</f>
        <v>45962</v>
      </c>
    </row>
    <row r="67" customFormat="false" ht="15" hidden="false" customHeight="false" outlineLevel="0" collapsed="false">
      <c r="A67" s="20" t="n">
        <v>66</v>
      </c>
      <c r="B67" s="21" t="n">
        <v>45979</v>
      </c>
      <c r="C67" s="20" t="s">
        <v>68</v>
      </c>
      <c r="D67" s="20" t="s">
        <v>48</v>
      </c>
      <c r="E67" s="20" t="s">
        <v>32</v>
      </c>
      <c r="F67" s="22" t="n">
        <v>117.86</v>
      </c>
      <c r="G67" s="20" t="s">
        <v>33</v>
      </c>
      <c r="H67" s="23" t="n">
        <f aca="false">DATE(YEAR(B67),MONTH(B67),1)</f>
        <v>45962</v>
      </c>
    </row>
    <row r="68" customFormat="false" ht="15" hidden="false" customHeight="false" outlineLevel="0" collapsed="false">
      <c r="A68" s="20" t="n">
        <v>67</v>
      </c>
      <c r="B68" s="21" t="n">
        <v>45980</v>
      </c>
      <c r="C68" s="20" t="s">
        <v>69</v>
      </c>
      <c r="D68" s="20" t="s">
        <v>60</v>
      </c>
      <c r="E68" s="20" t="s">
        <v>32</v>
      </c>
      <c r="F68" s="22" t="n">
        <v>24.6</v>
      </c>
      <c r="G68" s="20" t="s">
        <v>33</v>
      </c>
      <c r="H68" s="23" t="n">
        <f aca="false">DATE(YEAR(B68),MONTH(B68),1)</f>
        <v>45962</v>
      </c>
    </row>
    <row r="69" customFormat="false" ht="15" hidden="false" customHeight="false" outlineLevel="0" collapsed="false">
      <c r="A69" s="20" t="n">
        <v>68</v>
      </c>
      <c r="B69" s="21" t="n">
        <v>45981</v>
      </c>
      <c r="C69" s="20" t="s">
        <v>41</v>
      </c>
      <c r="D69" s="20" t="s">
        <v>39</v>
      </c>
      <c r="E69" s="20" t="s">
        <v>32</v>
      </c>
      <c r="F69" s="22" t="n">
        <v>36.64</v>
      </c>
      <c r="G69" s="20" t="s">
        <v>33</v>
      </c>
      <c r="H69" s="23" t="n">
        <f aca="false">DATE(YEAR(B69),MONTH(B69),1)</f>
        <v>45962</v>
      </c>
    </row>
    <row r="70" customFormat="false" ht="15" hidden="false" customHeight="false" outlineLevel="0" collapsed="false">
      <c r="A70" s="20" t="n">
        <v>69</v>
      </c>
      <c r="B70" s="21" t="n">
        <v>45984</v>
      </c>
      <c r="C70" s="20" t="s">
        <v>38</v>
      </c>
      <c r="D70" s="20" t="s">
        <v>39</v>
      </c>
      <c r="E70" s="20" t="s">
        <v>32</v>
      </c>
      <c r="F70" s="22" t="n">
        <v>120.35</v>
      </c>
      <c r="G70" s="20" t="s">
        <v>33</v>
      </c>
      <c r="H70" s="23" t="n">
        <f aca="false">DATE(YEAR(B70),MONTH(B70),1)</f>
        <v>45962</v>
      </c>
    </row>
    <row r="71" customFormat="false" ht="15" hidden="false" customHeight="false" outlineLevel="0" collapsed="false">
      <c r="A71" s="20" t="n">
        <v>70</v>
      </c>
      <c r="B71" s="21" t="n">
        <v>45985</v>
      </c>
      <c r="C71" s="20" t="s">
        <v>34</v>
      </c>
      <c r="D71" s="20" t="s">
        <v>31</v>
      </c>
      <c r="E71" s="20" t="s">
        <v>32</v>
      </c>
      <c r="F71" s="22" t="n">
        <v>34.77</v>
      </c>
      <c r="G71" s="20" t="s">
        <v>35</v>
      </c>
      <c r="H71" s="23" t="n">
        <f aca="false">DATE(YEAR(B71),MONTH(B71),1)</f>
        <v>45962</v>
      </c>
    </row>
    <row r="72" customFormat="false" ht="15" hidden="false" customHeight="false" outlineLevel="0" collapsed="false">
      <c r="A72" s="20" t="n">
        <v>71</v>
      </c>
      <c r="B72" s="21" t="n">
        <v>45986</v>
      </c>
      <c r="C72" s="20" t="s">
        <v>42</v>
      </c>
      <c r="D72" s="20" t="s">
        <v>39</v>
      </c>
      <c r="E72" s="20" t="s">
        <v>32</v>
      </c>
      <c r="F72" s="22" t="n">
        <v>52.92</v>
      </c>
      <c r="G72" s="20" t="s">
        <v>35</v>
      </c>
      <c r="H72" s="23" t="n">
        <f aca="false">DATE(YEAR(B72),MONTH(B72),1)</f>
        <v>45962</v>
      </c>
    </row>
    <row r="73" customFormat="false" ht="15" hidden="false" customHeight="false" outlineLevel="0" collapsed="false">
      <c r="A73" s="20" t="n">
        <v>72</v>
      </c>
      <c r="B73" s="21" t="n">
        <v>45988</v>
      </c>
      <c r="C73" s="20" t="s">
        <v>70</v>
      </c>
      <c r="D73" s="20" t="s">
        <v>48</v>
      </c>
      <c r="E73" s="20" t="s">
        <v>32</v>
      </c>
      <c r="F73" s="22" t="n">
        <v>59.87</v>
      </c>
      <c r="G73" s="20" t="s">
        <v>35</v>
      </c>
      <c r="H73" s="23" t="n">
        <f aca="false">DATE(YEAR(B73),MONTH(B73),1)</f>
        <v>45962</v>
      </c>
    </row>
    <row r="74" customFormat="false" ht="15" hidden="false" customHeight="false" outlineLevel="0" collapsed="false">
      <c r="A74" s="20" t="n">
        <v>73</v>
      </c>
      <c r="B74" s="21" t="n">
        <v>45988</v>
      </c>
      <c r="C74" s="20" t="s">
        <v>65</v>
      </c>
      <c r="D74" s="20" t="s">
        <v>62</v>
      </c>
      <c r="E74" s="20" t="s">
        <v>32</v>
      </c>
      <c r="F74" s="22" t="n">
        <v>129.86</v>
      </c>
      <c r="G74" s="20" t="s">
        <v>35</v>
      </c>
      <c r="H74" s="23" t="n">
        <f aca="false">DATE(YEAR(B74),MONTH(B74),1)</f>
        <v>45962</v>
      </c>
    </row>
    <row r="75" customFormat="false" ht="15" hidden="false" customHeight="false" outlineLevel="0" collapsed="false">
      <c r="A75" s="20" t="n">
        <v>74</v>
      </c>
      <c r="B75" s="21" t="n">
        <v>45989</v>
      </c>
      <c r="C75" s="20" t="s">
        <v>63</v>
      </c>
      <c r="D75" s="20" t="s">
        <v>64</v>
      </c>
      <c r="E75" s="20" t="s">
        <v>44</v>
      </c>
      <c r="F75" s="22" t="n">
        <v>43.29</v>
      </c>
      <c r="G75" s="20" t="s">
        <v>33</v>
      </c>
      <c r="H75" s="23" t="n">
        <f aca="false">DATE(YEAR(B75),MONTH(B75),1)</f>
        <v>45962</v>
      </c>
    </row>
    <row r="76" customFormat="false" ht="15" hidden="false" customHeight="false" outlineLevel="0" collapsed="false">
      <c r="A76" s="20" t="n">
        <v>75</v>
      </c>
      <c r="B76" s="21" t="n">
        <v>45989</v>
      </c>
      <c r="C76" s="20" t="s">
        <v>41</v>
      </c>
      <c r="D76" s="20" t="s">
        <v>39</v>
      </c>
      <c r="E76" s="20" t="s">
        <v>32</v>
      </c>
      <c r="F76" s="22" t="n">
        <v>40</v>
      </c>
      <c r="G76" s="20" t="s">
        <v>49</v>
      </c>
      <c r="H76" s="23" t="n">
        <f aca="false">DATE(YEAR(B76),MONTH(B76),1)</f>
        <v>45962</v>
      </c>
    </row>
    <row r="77" customFormat="false" ht="15" hidden="false" customHeight="false" outlineLevel="0" collapsed="false">
      <c r="A77" s="20" t="n">
        <v>76</v>
      </c>
      <c r="B77" s="21" t="n">
        <v>45993</v>
      </c>
      <c r="C77" s="20" t="s">
        <v>30</v>
      </c>
      <c r="D77" s="20" t="s">
        <v>31</v>
      </c>
      <c r="E77" s="20" t="s">
        <v>32</v>
      </c>
      <c r="F77" s="22" t="n">
        <v>150</v>
      </c>
      <c r="G77" s="20" t="s">
        <v>33</v>
      </c>
      <c r="H77" s="23" t="n">
        <f aca="false">DATE(YEAR(B77),MONTH(B77),1)</f>
        <v>45992</v>
      </c>
    </row>
    <row r="78" customFormat="false" ht="15" hidden="false" customHeight="false" outlineLevel="0" collapsed="false">
      <c r="A78" s="20" t="n">
        <v>77</v>
      </c>
      <c r="B78" s="21" t="n">
        <v>45993</v>
      </c>
      <c r="C78" s="20" t="s">
        <v>34</v>
      </c>
      <c r="D78" s="20" t="s">
        <v>31</v>
      </c>
      <c r="E78" s="20" t="s">
        <v>32</v>
      </c>
      <c r="F78" s="22" t="n">
        <v>29.51</v>
      </c>
      <c r="G78" s="20" t="s">
        <v>35</v>
      </c>
      <c r="H78" s="23" t="n">
        <f aca="false">DATE(YEAR(B78),MONTH(B78),1)</f>
        <v>45992</v>
      </c>
    </row>
    <row r="79" customFormat="false" ht="15" hidden="false" customHeight="false" outlineLevel="0" collapsed="false">
      <c r="A79" s="20" t="n">
        <v>78</v>
      </c>
      <c r="B79" s="21" t="n">
        <v>45993</v>
      </c>
      <c r="C79" s="20" t="s">
        <v>71</v>
      </c>
      <c r="D79" s="20" t="s">
        <v>48</v>
      </c>
      <c r="E79" s="20" t="s">
        <v>32</v>
      </c>
      <c r="F79" s="22" t="n">
        <v>134.67</v>
      </c>
      <c r="G79" s="20" t="s">
        <v>35</v>
      </c>
      <c r="H79" s="23" t="n">
        <f aca="false">DATE(YEAR(B79),MONTH(B79),1)</f>
        <v>45992</v>
      </c>
    </row>
    <row r="80" customFormat="false" ht="15" hidden="false" customHeight="false" outlineLevel="0" collapsed="false">
      <c r="A80" s="20" t="n">
        <v>79</v>
      </c>
      <c r="B80" s="21" t="n">
        <v>45994</v>
      </c>
      <c r="C80" s="20" t="s">
        <v>36</v>
      </c>
      <c r="D80" s="20" t="s">
        <v>37</v>
      </c>
      <c r="E80" s="20" t="s">
        <v>32</v>
      </c>
      <c r="F80" s="22" t="n">
        <v>109.9</v>
      </c>
      <c r="G80" s="20" t="s">
        <v>35</v>
      </c>
      <c r="H80" s="23" t="n">
        <f aca="false">DATE(YEAR(B80),MONTH(B80),1)</f>
        <v>45992</v>
      </c>
    </row>
    <row r="81" customFormat="false" ht="15" hidden="false" customHeight="false" outlineLevel="0" collapsed="false">
      <c r="A81" s="20" t="n">
        <v>80</v>
      </c>
      <c r="B81" s="21" t="n">
        <v>45994</v>
      </c>
      <c r="C81" s="20" t="s">
        <v>38</v>
      </c>
      <c r="D81" s="20" t="s">
        <v>39</v>
      </c>
      <c r="E81" s="20" t="s">
        <v>32</v>
      </c>
      <c r="F81" s="22" t="n">
        <v>124.09</v>
      </c>
      <c r="G81" s="20" t="s">
        <v>33</v>
      </c>
      <c r="H81" s="23" t="n">
        <f aca="false">DATE(YEAR(B81),MONTH(B81),1)</f>
        <v>45992</v>
      </c>
    </row>
    <row r="82" customFormat="false" ht="15" hidden="false" customHeight="false" outlineLevel="0" collapsed="false">
      <c r="A82" s="20" t="n">
        <v>81</v>
      </c>
      <c r="B82" s="21" t="n">
        <v>45994</v>
      </c>
      <c r="C82" s="20" t="s">
        <v>41</v>
      </c>
      <c r="D82" s="20" t="s">
        <v>39</v>
      </c>
      <c r="E82" s="20" t="s">
        <v>32</v>
      </c>
      <c r="F82" s="22" t="n">
        <v>83.67</v>
      </c>
      <c r="G82" s="20" t="s">
        <v>35</v>
      </c>
      <c r="H82" s="23" t="n">
        <f aca="false">DATE(YEAR(B82),MONTH(B82),1)</f>
        <v>45992</v>
      </c>
    </row>
    <row r="83" customFormat="false" ht="15" hidden="false" customHeight="false" outlineLevel="0" collapsed="false">
      <c r="A83" s="20" t="n">
        <v>82</v>
      </c>
      <c r="B83" s="21" t="n">
        <v>45995</v>
      </c>
      <c r="C83" s="20" t="s">
        <v>34</v>
      </c>
      <c r="D83" s="20" t="s">
        <v>31</v>
      </c>
      <c r="E83" s="20" t="s">
        <v>32</v>
      </c>
      <c r="F83" s="22" t="n">
        <v>29.13</v>
      </c>
      <c r="G83" s="20" t="s">
        <v>35</v>
      </c>
      <c r="H83" s="23" t="n">
        <f aca="false">DATE(YEAR(B83),MONTH(B83),1)</f>
        <v>45992</v>
      </c>
    </row>
    <row r="84" customFormat="false" ht="15" hidden="false" customHeight="false" outlineLevel="0" collapsed="false">
      <c r="A84" s="20" t="n">
        <v>83</v>
      </c>
      <c r="B84" s="21" t="n">
        <v>45995</v>
      </c>
      <c r="C84" s="20" t="s">
        <v>69</v>
      </c>
      <c r="D84" s="20" t="s">
        <v>60</v>
      </c>
      <c r="E84" s="20" t="s">
        <v>32</v>
      </c>
      <c r="F84" s="22" t="n">
        <v>68.22</v>
      </c>
      <c r="G84" s="20" t="s">
        <v>49</v>
      </c>
      <c r="H84" s="23" t="n">
        <f aca="false">DATE(YEAR(B84),MONTH(B84),1)</f>
        <v>45992</v>
      </c>
    </row>
    <row r="85" customFormat="false" ht="15" hidden="false" customHeight="false" outlineLevel="0" collapsed="false">
      <c r="A85" s="20" t="n">
        <v>84</v>
      </c>
      <c r="B85" s="21" t="n">
        <v>45996</v>
      </c>
      <c r="C85" s="20" t="s">
        <v>43</v>
      </c>
      <c r="D85" s="20" t="s">
        <v>43</v>
      </c>
      <c r="E85" s="20" t="s">
        <v>44</v>
      </c>
      <c r="F85" s="22" t="n">
        <v>5600</v>
      </c>
      <c r="G85" s="20" t="s">
        <v>33</v>
      </c>
      <c r="H85" s="23" t="n">
        <f aca="false">DATE(YEAR(B85),MONTH(B85),1)</f>
        <v>45992</v>
      </c>
    </row>
    <row r="86" customFormat="false" ht="15" hidden="false" customHeight="false" outlineLevel="0" collapsed="false">
      <c r="A86" s="20" t="n">
        <v>85</v>
      </c>
      <c r="B86" s="21" t="n">
        <v>45997</v>
      </c>
      <c r="C86" s="20" t="s">
        <v>45</v>
      </c>
      <c r="D86" s="20" t="s">
        <v>46</v>
      </c>
      <c r="E86" s="20" t="s">
        <v>32</v>
      </c>
      <c r="F86" s="22" t="n">
        <v>59.9</v>
      </c>
      <c r="G86" s="20" t="s">
        <v>35</v>
      </c>
      <c r="H86" s="23" t="n">
        <f aca="false">DATE(YEAR(B86),MONTH(B86),1)</f>
        <v>45992</v>
      </c>
    </row>
    <row r="87" customFormat="false" ht="15" hidden="false" customHeight="false" outlineLevel="0" collapsed="false">
      <c r="A87" s="20" t="n">
        <v>86</v>
      </c>
      <c r="B87" s="21" t="n">
        <v>45997</v>
      </c>
      <c r="C87" s="20" t="s">
        <v>72</v>
      </c>
      <c r="D87" s="20" t="s">
        <v>60</v>
      </c>
      <c r="E87" s="20" t="s">
        <v>32</v>
      </c>
      <c r="F87" s="22" t="n">
        <v>55.39</v>
      </c>
      <c r="G87" s="20" t="s">
        <v>35</v>
      </c>
      <c r="H87" s="23" t="n">
        <f aca="false">DATE(YEAR(B87),MONTH(B87),1)</f>
        <v>45992</v>
      </c>
    </row>
    <row r="88" customFormat="false" ht="15" hidden="false" customHeight="false" outlineLevel="0" collapsed="false">
      <c r="A88" s="20" t="n">
        <v>87</v>
      </c>
      <c r="B88" s="21" t="n">
        <v>45998</v>
      </c>
      <c r="C88" s="20" t="s">
        <v>38</v>
      </c>
      <c r="D88" s="20" t="s">
        <v>39</v>
      </c>
      <c r="E88" s="20" t="s">
        <v>32</v>
      </c>
      <c r="F88" s="22" t="n">
        <v>218.63</v>
      </c>
      <c r="G88" s="20" t="s">
        <v>33</v>
      </c>
      <c r="H88" s="23" t="n">
        <f aca="false">DATE(YEAR(B88),MONTH(B88),1)</f>
        <v>45992</v>
      </c>
    </row>
    <row r="89" customFormat="false" ht="15" hidden="false" customHeight="false" outlineLevel="0" collapsed="false">
      <c r="A89" s="20" t="n">
        <v>88</v>
      </c>
      <c r="B89" s="21" t="n">
        <v>45999</v>
      </c>
      <c r="C89" s="20" t="s">
        <v>50</v>
      </c>
      <c r="D89" s="20" t="s">
        <v>51</v>
      </c>
      <c r="E89" s="20" t="s">
        <v>32</v>
      </c>
      <c r="F89" s="22" t="n">
        <v>1350</v>
      </c>
      <c r="G89" s="20" t="s">
        <v>52</v>
      </c>
      <c r="H89" s="23" t="n">
        <f aca="false">DATE(YEAR(B89),MONTH(B89),1)</f>
        <v>45992</v>
      </c>
    </row>
    <row r="90" customFormat="false" ht="15" hidden="false" customHeight="false" outlineLevel="0" collapsed="false">
      <c r="A90" s="20" t="n">
        <v>89</v>
      </c>
      <c r="B90" s="21" t="n">
        <v>45999</v>
      </c>
      <c r="C90" s="20" t="s">
        <v>53</v>
      </c>
      <c r="D90" s="20" t="s">
        <v>51</v>
      </c>
      <c r="E90" s="20" t="s">
        <v>32</v>
      </c>
      <c r="F90" s="22" t="n">
        <v>250</v>
      </c>
      <c r="G90" s="20" t="s">
        <v>52</v>
      </c>
      <c r="H90" s="23" t="n">
        <f aca="false">DATE(YEAR(B90),MONTH(B90),1)</f>
        <v>45992</v>
      </c>
    </row>
    <row r="91" customFormat="false" ht="15" hidden="false" customHeight="false" outlineLevel="0" collapsed="false">
      <c r="A91" s="20" t="n">
        <v>90</v>
      </c>
      <c r="B91" s="21" t="n">
        <v>45999</v>
      </c>
      <c r="C91" s="20" t="s">
        <v>41</v>
      </c>
      <c r="D91" s="20" t="s">
        <v>39</v>
      </c>
      <c r="E91" s="20" t="s">
        <v>32</v>
      </c>
      <c r="F91" s="22" t="n">
        <v>74.96</v>
      </c>
      <c r="G91" s="20" t="s">
        <v>35</v>
      </c>
      <c r="H91" s="23" t="n">
        <f aca="false">DATE(YEAR(B91),MONTH(B91),1)</f>
        <v>45992</v>
      </c>
    </row>
    <row r="92" customFormat="false" ht="15" hidden="false" customHeight="false" outlineLevel="0" collapsed="false">
      <c r="A92" s="20" t="n">
        <v>91</v>
      </c>
      <c r="B92" s="21" t="n">
        <v>45999</v>
      </c>
      <c r="C92" s="20" t="s">
        <v>41</v>
      </c>
      <c r="D92" s="20" t="s">
        <v>39</v>
      </c>
      <c r="E92" s="20" t="s">
        <v>32</v>
      </c>
      <c r="F92" s="22" t="n">
        <v>36.92</v>
      </c>
      <c r="G92" s="20" t="s">
        <v>35</v>
      </c>
      <c r="H92" s="23" t="n">
        <f aca="false">DATE(YEAR(B92),MONTH(B92),1)</f>
        <v>45992</v>
      </c>
    </row>
    <row r="93" customFormat="false" ht="15" hidden="false" customHeight="false" outlineLevel="0" collapsed="false">
      <c r="A93" s="20" t="n">
        <v>92</v>
      </c>
      <c r="B93" s="21" t="n">
        <v>45999</v>
      </c>
      <c r="C93" s="20" t="s">
        <v>41</v>
      </c>
      <c r="D93" s="20" t="s">
        <v>39</v>
      </c>
      <c r="E93" s="20" t="s">
        <v>32</v>
      </c>
      <c r="F93" s="22" t="n">
        <v>52.33</v>
      </c>
      <c r="G93" s="20" t="s">
        <v>33</v>
      </c>
      <c r="H93" s="23" t="n">
        <f aca="false">DATE(YEAR(B93),MONTH(B93),1)</f>
        <v>45992</v>
      </c>
    </row>
    <row r="94" customFormat="false" ht="15" hidden="false" customHeight="false" outlineLevel="0" collapsed="false">
      <c r="A94" s="20" t="n">
        <v>93</v>
      </c>
      <c r="B94" s="21" t="n">
        <v>45999</v>
      </c>
      <c r="C94" s="20" t="s">
        <v>42</v>
      </c>
      <c r="D94" s="20" t="s">
        <v>39</v>
      </c>
      <c r="E94" s="20" t="s">
        <v>32</v>
      </c>
      <c r="F94" s="22" t="n">
        <v>58.95</v>
      </c>
      <c r="G94" s="20" t="s">
        <v>35</v>
      </c>
      <c r="H94" s="23" t="n">
        <f aca="false">DATE(YEAR(B94),MONTH(B94),1)</f>
        <v>45992</v>
      </c>
    </row>
    <row r="95" customFormat="false" ht="15" hidden="false" customHeight="false" outlineLevel="0" collapsed="false">
      <c r="A95" s="20" t="n">
        <v>94</v>
      </c>
      <c r="B95" s="21" t="n">
        <v>45999</v>
      </c>
      <c r="C95" s="20" t="s">
        <v>70</v>
      </c>
      <c r="D95" s="20" t="s">
        <v>48</v>
      </c>
      <c r="E95" s="20" t="s">
        <v>32</v>
      </c>
      <c r="F95" s="22" t="n">
        <v>64.73</v>
      </c>
      <c r="G95" s="20" t="s">
        <v>33</v>
      </c>
      <c r="H95" s="23" t="n">
        <f aca="false">DATE(YEAR(B95),MONTH(B95),1)</f>
        <v>45992</v>
      </c>
    </row>
    <row r="96" customFormat="false" ht="15" hidden="false" customHeight="false" outlineLevel="0" collapsed="false">
      <c r="A96" s="20" t="n">
        <v>95</v>
      </c>
      <c r="B96" s="21" t="n">
        <v>45999</v>
      </c>
      <c r="C96" s="20" t="s">
        <v>61</v>
      </c>
      <c r="D96" s="20" t="s">
        <v>62</v>
      </c>
      <c r="E96" s="20" t="s">
        <v>32</v>
      </c>
      <c r="F96" s="22" t="n">
        <v>180.78</v>
      </c>
      <c r="G96" s="20" t="s">
        <v>35</v>
      </c>
      <c r="H96" s="23" t="n">
        <f aca="false">DATE(YEAR(B96),MONTH(B96),1)</f>
        <v>45992</v>
      </c>
    </row>
    <row r="97" customFormat="false" ht="15" hidden="false" customHeight="false" outlineLevel="0" collapsed="false">
      <c r="A97" s="20" t="n">
        <v>96</v>
      </c>
      <c r="B97" s="21" t="n">
        <v>46001</v>
      </c>
      <c r="C97" s="20" t="s">
        <v>54</v>
      </c>
      <c r="D97" s="20" t="s">
        <v>51</v>
      </c>
      <c r="E97" s="20" t="s">
        <v>32</v>
      </c>
      <c r="F97" s="22" t="n">
        <v>99.9</v>
      </c>
      <c r="G97" s="20" t="s">
        <v>49</v>
      </c>
      <c r="H97" s="23" t="n">
        <f aca="false">DATE(YEAR(B97),MONTH(B97),1)</f>
        <v>45992</v>
      </c>
    </row>
    <row r="98" customFormat="false" ht="15" hidden="false" customHeight="false" outlineLevel="0" collapsed="false">
      <c r="A98" s="20" t="n">
        <v>97</v>
      </c>
      <c r="B98" s="21" t="n">
        <v>46003</v>
      </c>
      <c r="C98" s="20" t="s">
        <v>55</v>
      </c>
      <c r="D98" s="20" t="s">
        <v>56</v>
      </c>
      <c r="E98" s="20" t="s">
        <v>32</v>
      </c>
      <c r="F98" s="22" t="n">
        <v>39.9</v>
      </c>
      <c r="G98" s="20" t="s">
        <v>35</v>
      </c>
      <c r="H98" s="23" t="n">
        <f aca="false">DATE(YEAR(B98),MONTH(B98),1)</f>
        <v>45992</v>
      </c>
    </row>
    <row r="99" customFormat="false" ht="15" hidden="false" customHeight="false" outlineLevel="0" collapsed="false">
      <c r="A99" s="20" t="n">
        <v>98</v>
      </c>
      <c r="B99" s="21" t="n">
        <v>46003</v>
      </c>
      <c r="C99" s="20" t="s">
        <v>38</v>
      </c>
      <c r="D99" s="20" t="s">
        <v>39</v>
      </c>
      <c r="E99" s="20" t="s">
        <v>32</v>
      </c>
      <c r="F99" s="22" t="n">
        <v>140.1</v>
      </c>
      <c r="G99" s="20" t="s">
        <v>33</v>
      </c>
      <c r="H99" s="23" t="n">
        <f aca="false">DATE(YEAR(B99),MONTH(B99),1)</f>
        <v>45992</v>
      </c>
    </row>
    <row r="100" customFormat="false" ht="15" hidden="false" customHeight="false" outlineLevel="0" collapsed="false">
      <c r="A100" s="20" t="n">
        <v>99</v>
      </c>
      <c r="B100" s="21" t="n">
        <v>46003</v>
      </c>
      <c r="C100" s="20" t="s">
        <v>34</v>
      </c>
      <c r="D100" s="20" t="s">
        <v>31</v>
      </c>
      <c r="E100" s="20" t="s">
        <v>32</v>
      </c>
      <c r="F100" s="22" t="n">
        <v>23.01</v>
      </c>
      <c r="G100" s="20" t="s">
        <v>35</v>
      </c>
      <c r="H100" s="23" t="n">
        <f aca="false">DATE(YEAR(B100),MONTH(B100),1)</f>
        <v>45992</v>
      </c>
    </row>
    <row r="101" customFormat="false" ht="15" hidden="false" customHeight="false" outlineLevel="0" collapsed="false">
      <c r="A101" s="20" t="n">
        <v>100</v>
      </c>
      <c r="B101" s="21" t="n">
        <v>46004</v>
      </c>
      <c r="C101" s="20" t="s">
        <v>38</v>
      </c>
      <c r="D101" s="20" t="s">
        <v>39</v>
      </c>
      <c r="E101" s="20" t="s">
        <v>32</v>
      </c>
      <c r="F101" s="22" t="n">
        <v>229.22</v>
      </c>
      <c r="G101" s="20" t="s">
        <v>33</v>
      </c>
      <c r="H101" s="23" t="n">
        <f aca="false">DATE(YEAR(B101),MONTH(B101),1)</f>
        <v>45992</v>
      </c>
    </row>
    <row r="102" customFormat="false" ht="15" hidden="false" customHeight="false" outlineLevel="0" collapsed="false">
      <c r="A102" s="20" t="n">
        <v>101</v>
      </c>
      <c r="B102" s="21" t="n">
        <v>46005</v>
      </c>
      <c r="C102" s="20" t="s">
        <v>57</v>
      </c>
      <c r="D102" s="20" t="s">
        <v>56</v>
      </c>
      <c r="E102" s="20" t="s">
        <v>32</v>
      </c>
      <c r="F102" s="22" t="n">
        <v>21.9</v>
      </c>
      <c r="G102" s="20" t="s">
        <v>35</v>
      </c>
      <c r="H102" s="23" t="n">
        <f aca="false">DATE(YEAR(B102),MONTH(B102),1)</f>
        <v>45992</v>
      </c>
    </row>
    <row r="103" customFormat="false" ht="15" hidden="false" customHeight="false" outlineLevel="0" collapsed="false">
      <c r="A103" s="20" t="n">
        <v>102</v>
      </c>
      <c r="B103" s="21" t="n">
        <v>46005</v>
      </c>
      <c r="C103" s="20" t="s">
        <v>73</v>
      </c>
      <c r="D103" s="20" t="s">
        <v>62</v>
      </c>
      <c r="E103" s="20" t="s">
        <v>32</v>
      </c>
      <c r="F103" s="22" t="n">
        <v>139.64</v>
      </c>
      <c r="G103" s="20" t="s">
        <v>35</v>
      </c>
      <c r="H103" s="23" t="n">
        <f aca="false">DATE(YEAR(B103),MONTH(B103),1)</f>
        <v>45992</v>
      </c>
    </row>
    <row r="104" customFormat="false" ht="15" hidden="false" customHeight="false" outlineLevel="0" collapsed="false">
      <c r="A104" s="20" t="n">
        <v>103</v>
      </c>
      <c r="B104" s="21" t="n">
        <v>46006</v>
      </c>
      <c r="C104" s="20" t="s">
        <v>58</v>
      </c>
      <c r="D104" s="20" t="s">
        <v>51</v>
      </c>
      <c r="E104" s="20" t="s">
        <v>32</v>
      </c>
      <c r="F104" s="22" t="n">
        <v>127.62</v>
      </c>
      <c r="G104" s="20" t="s">
        <v>52</v>
      </c>
      <c r="H104" s="23" t="n">
        <f aca="false">DATE(YEAR(B104),MONTH(B104),1)</f>
        <v>45992</v>
      </c>
    </row>
    <row r="105" customFormat="false" ht="15" hidden="false" customHeight="false" outlineLevel="0" collapsed="false">
      <c r="A105" s="20" t="n">
        <v>104</v>
      </c>
      <c r="B105" s="21" t="n">
        <v>46006</v>
      </c>
      <c r="C105" s="20" t="s">
        <v>38</v>
      </c>
      <c r="D105" s="20" t="s">
        <v>39</v>
      </c>
      <c r="E105" s="20" t="s">
        <v>32</v>
      </c>
      <c r="F105" s="22" t="n">
        <v>89.36</v>
      </c>
      <c r="G105" s="20" t="s">
        <v>49</v>
      </c>
      <c r="H105" s="23" t="n">
        <f aca="false">DATE(YEAR(B105),MONTH(B105),1)</f>
        <v>45992</v>
      </c>
    </row>
    <row r="106" customFormat="false" ht="15" hidden="false" customHeight="false" outlineLevel="0" collapsed="false">
      <c r="A106" s="20" t="n">
        <v>105</v>
      </c>
      <c r="B106" s="21" t="n">
        <v>46006</v>
      </c>
      <c r="C106" s="20" t="s">
        <v>34</v>
      </c>
      <c r="D106" s="20" t="s">
        <v>31</v>
      </c>
      <c r="E106" s="20" t="s">
        <v>32</v>
      </c>
      <c r="F106" s="22" t="n">
        <v>34.46</v>
      </c>
      <c r="G106" s="20" t="s">
        <v>35</v>
      </c>
      <c r="H106" s="23" t="n">
        <f aca="false">DATE(YEAR(B106),MONTH(B106),1)</f>
        <v>45992</v>
      </c>
    </row>
    <row r="107" customFormat="false" ht="15" hidden="false" customHeight="false" outlineLevel="0" collapsed="false">
      <c r="A107" s="20" t="n">
        <v>106</v>
      </c>
      <c r="B107" s="21" t="n">
        <v>46007</v>
      </c>
      <c r="C107" s="20" t="s">
        <v>40</v>
      </c>
      <c r="D107" s="20" t="s">
        <v>37</v>
      </c>
      <c r="E107" s="20" t="s">
        <v>32</v>
      </c>
      <c r="F107" s="22" t="n">
        <v>273.09</v>
      </c>
      <c r="G107" s="20" t="s">
        <v>33</v>
      </c>
      <c r="H107" s="23" t="n">
        <f aca="false">DATE(YEAR(B107),MONTH(B107),1)</f>
        <v>45992</v>
      </c>
    </row>
    <row r="108" customFormat="false" ht="15" hidden="false" customHeight="false" outlineLevel="0" collapsed="false">
      <c r="A108" s="20" t="n">
        <v>107</v>
      </c>
      <c r="B108" s="21" t="n">
        <v>46008</v>
      </c>
      <c r="C108" s="20" t="s">
        <v>74</v>
      </c>
      <c r="D108" s="20" t="s">
        <v>46</v>
      </c>
      <c r="E108" s="20" t="s">
        <v>32</v>
      </c>
      <c r="F108" s="22" t="n">
        <v>129.79</v>
      </c>
      <c r="G108" s="20" t="s">
        <v>35</v>
      </c>
      <c r="H108" s="23" t="n">
        <f aca="false">DATE(YEAR(B108),MONTH(B108),1)</f>
        <v>45992</v>
      </c>
    </row>
    <row r="109" customFormat="false" ht="15" hidden="false" customHeight="false" outlineLevel="0" collapsed="false">
      <c r="A109" s="20" t="n">
        <v>108</v>
      </c>
      <c r="B109" s="21" t="n">
        <v>46009</v>
      </c>
      <c r="C109" s="20" t="s">
        <v>42</v>
      </c>
      <c r="D109" s="20" t="s">
        <v>39</v>
      </c>
      <c r="E109" s="20" t="s">
        <v>32</v>
      </c>
      <c r="F109" s="22" t="n">
        <v>31.56</v>
      </c>
      <c r="G109" s="20" t="s">
        <v>35</v>
      </c>
      <c r="H109" s="23" t="n">
        <f aca="false">DATE(YEAR(B109),MONTH(B109),1)</f>
        <v>45992</v>
      </c>
    </row>
    <row r="110" customFormat="false" ht="15" hidden="false" customHeight="false" outlineLevel="0" collapsed="false">
      <c r="A110" s="20" t="n">
        <v>109</v>
      </c>
      <c r="B110" s="21" t="n">
        <v>46010</v>
      </c>
      <c r="C110" s="20" t="s">
        <v>42</v>
      </c>
      <c r="D110" s="20" t="s">
        <v>39</v>
      </c>
      <c r="E110" s="20" t="s">
        <v>32</v>
      </c>
      <c r="F110" s="22" t="n">
        <v>50.2</v>
      </c>
      <c r="G110" s="20" t="s">
        <v>35</v>
      </c>
      <c r="H110" s="23" t="n">
        <f aca="false">DATE(YEAR(B110),MONTH(B110),1)</f>
        <v>45992</v>
      </c>
    </row>
    <row r="111" customFormat="false" ht="15" hidden="false" customHeight="false" outlineLevel="0" collapsed="false">
      <c r="A111" s="20" t="n">
        <v>110</v>
      </c>
      <c r="B111" s="21" t="n">
        <v>46014</v>
      </c>
      <c r="C111" s="20" t="s">
        <v>38</v>
      </c>
      <c r="D111" s="20" t="s">
        <v>39</v>
      </c>
      <c r="E111" s="20" t="s">
        <v>32</v>
      </c>
      <c r="F111" s="22" t="n">
        <v>102.18</v>
      </c>
      <c r="G111" s="20" t="s">
        <v>35</v>
      </c>
      <c r="H111" s="23" t="n">
        <f aca="false">DATE(YEAR(B111),MONTH(B111),1)</f>
        <v>45992</v>
      </c>
    </row>
    <row r="112" customFormat="false" ht="15" hidden="false" customHeight="false" outlineLevel="0" collapsed="false">
      <c r="A112" s="20" t="n">
        <v>111</v>
      </c>
      <c r="B112" s="21" t="n">
        <v>46017</v>
      </c>
      <c r="C112" s="20" t="s">
        <v>42</v>
      </c>
      <c r="D112" s="20" t="s">
        <v>39</v>
      </c>
      <c r="E112" s="20" t="s">
        <v>32</v>
      </c>
      <c r="F112" s="22" t="n">
        <v>43.1</v>
      </c>
      <c r="G112" s="20" t="s">
        <v>35</v>
      </c>
      <c r="H112" s="23" t="n">
        <f aca="false">DATE(YEAR(B112),MONTH(B112),1)</f>
        <v>45992</v>
      </c>
    </row>
    <row r="113" customFormat="false" ht="15" hidden="false" customHeight="false" outlineLevel="0" collapsed="false">
      <c r="A113" s="20" t="n">
        <v>112</v>
      </c>
      <c r="B113" s="21" t="n">
        <v>46018</v>
      </c>
      <c r="C113" s="20" t="s">
        <v>69</v>
      </c>
      <c r="D113" s="20" t="s">
        <v>60</v>
      </c>
      <c r="E113" s="20" t="s">
        <v>32</v>
      </c>
      <c r="F113" s="22" t="n">
        <v>92.61</v>
      </c>
      <c r="G113" s="20" t="s">
        <v>35</v>
      </c>
      <c r="H113" s="23" t="n">
        <f aca="false">DATE(YEAR(B113),MONTH(B113),1)</f>
        <v>45992</v>
      </c>
    </row>
    <row r="114" customFormat="false" ht="15" hidden="false" customHeight="false" outlineLevel="0" collapsed="false">
      <c r="A114" s="20" t="n">
        <v>113</v>
      </c>
      <c r="B114" s="21" t="n">
        <v>46019</v>
      </c>
      <c r="C114" s="20" t="s">
        <v>63</v>
      </c>
      <c r="D114" s="20" t="s">
        <v>64</v>
      </c>
      <c r="E114" s="20" t="s">
        <v>44</v>
      </c>
      <c r="F114" s="22" t="n">
        <v>47.34</v>
      </c>
      <c r="G114" s="20" t="s">
        <v>33</v>
      </c>
      <c r="H114" s="23" t="n">
        <f aca="false">DATE(YEAR(B114),MONTH(B114),1)</f>
        <v>45992</v>
      </c>
    </row>
    <row r="115" customFormat="false" ht="15" hidden="false" customHeight="false" outlineLevel="0" collapsed="false">
      <c r="A115" s="20" t="n">
        <v>114</v>
      </c>
      <c r="B115" s="21" t="n">
        <v>46019</v>
      </c>
      <c r="C115" s="20" t="s">
        <v>41</v>
      </c>
      <c r="D115" s="20" t="s">
        <v>39</v>
      </c>
      <c r="E115" s="20" t="s">
        <v>32</v>
      </c>
      <c r="F115" s="22" t="n">
        <v>56.12</v>
      </c>
      <c r="G115" s="20" t="s">
        <v>49</v>
      </c>
      <c r="H115" s="23" t="n">
        <f aca="false">DATE(YEAR(B115),MONTH(B115),1)</f>
        <v>45992</v>
      </c>
    </row>
    <row r="116" customFormat="false" ht="15" hidden="false" customHeight="false" outlineLevel="0" collapsed="false">
      <c r="A116" s="20" t="n">
        <v>115</v>
      </c>
      <c r="B116" s="21" t="n">
        <v>46024</v>
      </c>
      <c r="C116" s="20" t="s">
        <v>30</v>
      </c>
      <c r="D116" s="20" t="s">
        <v>31</v>
      </c>
      <c r="E116" s="20" t="s">
        <v>32</v>
      </c>
      <c r="F116" s="22" t="n">
        <v>150</v>
      </c>
      <c r="G116" s="20" t="s">
        <v>33</v>
      </c>
      <c r="H116" s="23" t="n">
        <f aca="false">DATE(YEAR(B116),MONTH(B116),1)</f>
        <v>46023</v>
      </c>
    </row>
    <row r="117" customFormat="false" ht="15" hidden="false" customHeight="false" outlineLevel="0" collapsed="false">
      <c r="A117" s="20" t="n">
        <v>116</v>
      </c>
      <c r="B117" s="21" t="n">
        <v>46025</v>
      </c>
      <c r="C117" s="20" t="s">
        <v>36</v>
      </c>
      <c r="D117" s="20" t="s">
        <v>37</v>
      </c>
      <c r="E117" s="20" t="s">
        <v>32</v>
      </c>
      <c r="F117" s="22" t="n">
        <v>109.9</v>
      </c>
      <c r="G117" s="20" t="s">
        <v>35</v>
      </c>
      <c r="H117" s="23" t="n">
        <f aca="false">DATE(YEAR(B117),MONTH(B117),1)</f>
        <v>46023</v>
      </c>
    </row>
    <row r="118" customFormat="false" ht="15" hidden="false" customHeight="false" outlineLevel="0" collapsed="false">
      <c r="A118" s="20" t="n">
        <v>117</v>
      </c>
      <c r="B118" s="21" t="n">
        <v>46025</v>
      </c>
      <c r="C118" s="20" t="s">
        <v>41</v>
      </c>
      <c r="D118" s="20" t="s">
        <v>39</v>
      </c>
      <c r="E118" s="20" t="s">
        <v>32</v>
      </c>
      <c r="F118" s="22" t="n">
        <v>94.15</v>
      </c>
      <c r="G118" s="20" t="s">
        <v>35</v>
      </c>
      <c r="H118" s="23" t="n">
        <f aca="false">DATE(YEAR(B118),MONTH(B118),1)</f>
        <v>46023</v>
      </c>
    </row>
    <row r="119" customFormat="false" ht="15" hidden="false" customHeight="false" outlineLevel="0" collapsed="false">
      <c r="A119" s="20" t="n">
        <v>118</v>
      </c>
      <c r="B119" s="21" t="n">
        <v>46025</v>
      </c>
      <c r="C119" s="20" t="s">
        <v>42</v>
      </c>
      <c r="D119" s="20" t="s">
        <v>39</v>
      </c>
      <c r="E119" s="20" t="s">
        <v>32</v>
      </c>
      <c r="F119" s="22" t="n">
        <v>43.61</v>
      </c>
      <c r="G119" s="20" t="s">
        <v>35</v>
      </c>
      <c r="H119" s="23" t="n">
        <f aca="false">DATE(YEAR(B119),MONTH(B119),1)</f>
        <v>46023</v>
      </c>
    </row>
    <row r="120" customFormat="false" ht="15" hidden="false" customHeight="false" outlineLevel="0" collapsed="false">
      <c r="A120" s="20" t="n">
        <v>119</v>
      </c>
      <c r="B120" s="21" t="n">
        <v>46026</v>
      </c>
      <c r="C120" s="20" t="s">
        <v>42</v>
      </c>
      <c r="D120" s="20" t="s">
        <v>39</v>
      </c>
      <c r="E120" s="20" t="s">
        <v>32</v>
      </c>
      <c r="F120" s="22" t="n">
        <v>65.55</v>
      </c>
      <c r="G120" s="20" t="s">
        <v>35</v>
      </c>
      <c r="H120" s="23" t="n">
        <f aca="false">DATE(YEAR(B120),MONTH(B120),1)</f>
        <v>46023</v>
      </c>
    </row>
    <row r="121" customFormat="false" ht="15" hidden="false" customHeight="false" outlineLevel="0" collapsed="false">
      <c r="A121" s="20" t="n">
        <v>120</v>
      </c>
      <c r="B121" s="21" t="n">
        <v>46027</v>
      </c>
      <c r="C121" s="20" t="s">
        <v>43</v>
      </c>
      <c r="D121" s="20" t="s">
        <v>43</v>
      </c>
      <c r="E121" s="20" t="s">
        <v>44</v>
      </c>
      <c r="F121" s="22" t="n">
        <v>5600</v>
      </c>
      <c r="G121" s="20" t="s">
        <v>33</v>
      </c>
      <c r="H121" s="23" t="n">
        <f aca="false">DATE(YEAR(B121),MONTH(B121),1)</f>
        <v>46023</v>
      </c>
    </row>
    <row r="122" customFormat="false" ht="15" hidden="false" customHeight="false" outlineLevel="0" collapsed="false">
      <c r="A122" s="20" t="n">
        <v>121</v>
      </c>
      <c r="B122" s="21" t="n">
        <v>46027</v>
      </c>
      <c r="C122" s="20" t="s">
        <v>34</v>
      </c>
      <c r="D122" s="20" t="s">
        <v>31</v>
      </c>
      <c r="E122" s="20" t="s">
        <v>32</v>
      </c>
      <c r="F122" s="22" t="n">
        <v>29.46</v>
      </c>
      <c r="G122" s="20" t="s">
        <v>35</v>
      </c>
      <c r="H122" s="23" t="n">
        <f aca="false">DATE(YEAR(B122),MONTH(B122),1)</f>
        <v>46023</v>
      </c>
    </row>
    <row r="123" customFormat="false" ht="15" hidden="false" customHeight="false" outlineLevel="0" collapsed="false">
      <c r="A123" s="20" t="n">
        <v>122</v>
      </c>
      <c r="B123" s="21" t="n">
        <v>46028</v>
      </c>
      <c r="C123" s="20" t="s">
        <v>45</v>
      </c>
      <c r="D123" s="20" t="s">
        <v>46</v>
      </c>
      <c r="E123" s="20" t="s">
        <v>32</v>
      </c>
      <c r="F123" s="22" t="n">
        <v>59.9</v>
      </c>
      <c r="G123" s="20" t="s">
        <v>35</v>
      </c>
      <c r="H123" s="23" t="n">
        <f aca="false">DATE(YEAR(B123),MONTH(B123),1)</f>
        <v>46023</v>
      </c>
    </row>
    <row r="124" customFormat="false" ht="15" hidden="false" customHeight="false" outlineLevel="0" collapsed="false">
      <c r="A124" s="20" t="n">
        <v>123</v>
      </c>
      <c r="B124" s="21" t="n">
        <v>46028</v>
      </c>
      <c r="C124" s="20" t="s">
        <v>41</v>
      </c>
      <c r="D124" s="20" t="s">
        <v>39</v>
      </c>
      <c r="E124" s="20" t="s">
        <v>32</v>
      </c>
      <c r="F124" s="22" t="n">
        <v>36.15</v>
      </c>
      <c r="G124" s="20" t="s">
        <v>49</v>
      </c>
      <c r="H124" s="23" t="n">
        <f aca="false">DATE(YEAR(B124),MONTH(B124),1)</f>
        <v>46023</v>
      </c>
    </row>
    <row r="125" customFormat="false" ht="15" hidden="false" customHeight="false" outlineLevel="0" collapsed="false">
      <c r="A125" s="20" t="n">
        <v>124</v>
      </c>
      <c r="B125" s="21" t="n">
        <v>46029</v>
      </c>
      <c r="C125" s="20" t="s">
        <v>38</v>
      </c>
      <c r="D125" s="20" t="s">
        <v>39</v>
      </c>
      <c r="E125" s="20" t="s">
        <v>32</v>
      </c>
      <c r="F125" s="22" t="n">
        <v>224.99</v>
      </c>
      <c r="G125" s="20" t="s">
        <v>33</v>
      </c>
      <c r="H125" s="23" t="n">
        <f aca="false">DATE(YEAR(B125),MONTH(B125),1)</f>
        <v>46023</v>
      </c>
    </row>
    <row r="126" customFormat="false" ht="15" hidden="false" customHeight="false" outlineLevel="0" collapsed="false">
      <c r="A126" s="20" t="n">
        <v>125</v>
      </c>
      <c r="B126" s="21" t="n">
        <v>46030</v>
      </c>
      <c r="C126" s="20" t="s">
        <v>50</v>
      </c>
      <c r="D126" s="20" t="s">
        <v>51</v>
      </c>
      <c r="E126" s="20" t="s">
        <v>32</v>
      </c>
      <c r="F126" s="22" t="n">
        <v>1350</v>
      </c>
      <c r="G126" s="20" t="s">
        <v>52</v>
      </c>
      <c r="H126" s="23" t="n">
        <f aca="false">DATE(YEAR(B126),MONTH(B126),1)</f>
        <v>46023</v>
      </c>
    </row>
    <row r="127" customFormat="false" ht="15" hidden="false" customHeight="false" outlineLevel="0" collapsed="false">
      <c r="A127" s="20" t="n">
        <v>126</v>
      </c>
      <c r="B127" s="21" t="n">
        <v>46030</v>
      </c>
      <c r="C127" s="20" t="s">
        <v>53</v>
      </c>
      <c r="D127" s="20" t="s">
        <v>51</v>
      </c>
      <c r="E127" s="20" t="s">
        <v>32</v>
      </c>
      <c r="F127" s="22" t="n">
        <v>250</v>
      </c>
      <c r="G127" s="20" t="s">
        <v>52</v>
      </c>
      <c r="H127" s="23" t="n">
        <f aca="false">DATE(YEAR(B127),MONTH(B127),1)</f>
        <v>46023</v>
      </c>
    </row>
    <row r="128" customFormat="false" ht="15" hidden="false" customHeight="false" outlineLevel="0" collapsed="false">
      <c r="A128" s="20" t="n">
        <v>127</v>
      </c>
      <c r="B128" s="21" t="n">
        <v>46030</v>
      </c>
      <c r="C128" s="20" t="s">
        <v>34</v>
      </c>
      <c r="D128" s="20" t="s">
        <v>31</v>
      </c>
      <c r="E128" s="20" t="s">
        <v>32</v>
      </c>
      <c r="F128" s="22" t="n">
        <v>18.91</v>
      </c>
      <c r="G128" s="20" t="s">
        <v>35</v>
      </c>
      <c r="H128" s="23" t="n">
        <f aca="false">DATE(YEAR(B128),MONTH(B128),1)</f>
        <v>46023</v>
      </c>
    </row>
    <row r="129" customFormat="false" ht="15" hidden="false" customHeight="false" outlineLevel="0" collapsed="false">
      <c r="A129" s="20" t="n">
        <v>128</v>
      </c>
      <c r="B129" s="21" t="n">
        <v>46032</v>
      </c>
      <c r="C129" s="20" t="s">
        <v>54</v>
      </c>
      <c r="D129" s="20" t="s">
        <v>51</v>
      </c>
      <c r="E129" s="20" t="s">
        <v>32</v>
      </c>
      <c r="F129" s="22" t="n">
        <v>99.9</v>
      </c>
      <c r="G129" s="20" t="s">
        <v>49</v>
      </c>
      <c r="H129" s="23" t="n">
        <f aca="false">DATE(YEAR(B129),MONTH(B129),1)</f>
        <v>46023</v>
      </c>
    </row>
    <row r="130" customFormat="false" ht="15" hidden="false" customHeight="false" outlineLevel="0" collapsed="false">
      <c r="A130" s="20" t="n">
        <v>129</v>
      </c>
      <c r="B130" s="21" t="n">
        <v>46032</v>
      </c>
      <c r="C130" s="20" t="s">
        <v>38</v>
      </c>
      <c r="D130" s="20" t="s">
        <v>39</v>
      </c>
      <c r="E130" s="20" t="s">
        <v>32</v>
      </c>
      <c r="F130" s="22" t="n">
        <v>137.68</v>
      </c>
      <c r="G130" s="20" t="s">
        <v>33</v>
      </c>
      <c r="H130" s="23" t="n">
        <f aca="false">DATE(YEAR(B130),MONTH(B130),1)</f>
        <v>46023</v>
      </c>
    </row>
    <row r="131" customFormat="false" ht="15" hidden="false" customHeight="false" outlineLevel="0" collapsed="false">
      <c r="A131" s="20" t="n">
        <v>130</v>
      </c>
      <c r="B131" s="21" t="n">
        <v>46032</v>
      </c>
      <c r="C131" s="20" t="s">
        <v>34</v>
      </c>
      <c r="D131" s="20" t="s">
        <v>31</v>
      </c>
      <c r="E131" s="20" t="s">
        <v>32</v>
      </c>
      <c r="F131" s="22" t="n">
        <v>23.89</v>
      </c>
      <c r="G131" s="20" t="s">
        <v>35</v>
      </c>
      <c r="H131" s="23" t="n">
        <f aca="false">DATE(YEAR(B131),MONTH(B131),1)</f>
        <v>46023</v>
      </c>
    </row>
    <row r="132" customFormat="false" ht="15" hidden="false" customHeight="false" outlineLevel="0" collapsed="false">
      <c r="A132" s="20" t="n">
        <v>131</v>
      </c>
      <c r="B132" s="21" t="n">
        <v>46033</v>
      </c>
      <c r="C132" s="20" t="s">
        <v>38</v>
      </c>
      <c r="D132" s="20" t="s">
        <v>39</v>
      </c>
      <c r="E132" s="20" t="s">
        <v>32</v>
      </c>
      <c r="F132" s="22" t="n">
        <v>79.15</v>
      </c>
      <c r="G132" s="20" t="s">
        <v>33</v>
      </c>
      <c r="H132" s="23" t="n">
        <f aca="false">DATE(YEAR(B132),MONTH(B132),1)</f>
        <v>46023</v>
      </c>
    </row>
    <row r="133" customFormat="false" ht="15" hidden="false" customHeight="false" outlineLevel="0" collapsed="false">
      <c r="A133" s="20" t="n">
        <v>132</v>
      </c>
      <c r="B133" s="21" t="n">
        <v>46033</v>
      </c>
      <c r="C133" s="20" t="s">
        <v>42</v>
      </c>
      <c r="D133" s="20" t="s">
        <v>39</v>
      </c>
      <c r="E133" s="20" t="s">
        <v>32</v>
      </c>
      <c r="F133" s="22" t="n">
        <v>65.26</v>
      </c>
      <c r="G133" s="20" t="s">
        <v>35</v>
      </c>
      <c r="H133" s="23" t="n">
        <f aca="false">DATE(YEAR(B133),MONTH(B133),1)</f>
        <v>46023</v>
      </c>
    </row>
    <row r="134" customFormat="false" ht="15" hidden="false" customHeight="false" outlineLevel="0" collapsed="false">
      <c r="A134" s="20" t="n">
        <v>133</v>
      </c>
      <c r="B134" s="21" t="n">
        <v>46034</v>
      </c>
      <c r="C134" s="20" t="s">
        <v>55</v>
      </c>
      <c r="D134" s="20" t="s">
        <v>56</v>
      </c>
      <c r="E134" s="20" t="s">
        <v>32</v>
      </c>
      <c r="F134" s="22" t="n">
        <v>39.9</v>
      </c>
      <c r="G134" s="20" t="s">
        <v>35</v>
      </c>
      <c r="H134" s="23" t="n">
        <f aca="false">DATE(YEAR(B134),MONTH(B134),1)</f>
        <v>46023</v>
      </c>
    </row>
    <row r="135" customFormat="false" ht="15" hidden="false" customHeight="false" outlineLevel="0" collapsed="false">
      <c r="A135" s="20" t="n">
        <v>134</v>
      </c>
      <c r="B135" s="21" t="n">
        <v>46034</v>
      </c>
      <c r="C135" s="20" t="s">
        <v>75</v>
      </c>
      <c r="D135" s="20" t="s">
        <v>60</v>
      </c>
      <c r="E135" s="20" t="s">
        <v>32</v>
      </c>
      <c r="F135" s="22" t="n">
        <v>30.15</v>
      </c>
      <c r="G135" s="20" t="s">
        <v>49</v>
      </c>
      <c r="H135" s="23" t="n">
        <f aca="false">DATE(YEAR(B135),MONTH(B135),1)</f>
        <v>46023</v>
      </c>
    </row>
    <row r="136" customFormat="false" ht="15" hidden="false" customHeight="false" outlineLevel="0" collapsed="false">
      <c r="A136" s="20" t="n">
        <v>135</v>
      </c>
      <c r="B136" s="21" t="n">
        <v>46036</v>
      </c>
      <c r="C136" s="20" t="s">
        <v>57</v>
      </c>
      <c r="D136" s="20" t="s">
        <v>56</v>
      </c>
      <c r="E136" s="20" t="s">
        <v>32</v>
      </c>
      <c r="F136" s="22" t="n">
        <v>21.9</v>
      </c>
      <c r="G136" s="20" t="s">
        <v>35</v>
      </c>
      <c r="H136" s="23" t="n">
        <f aca="false">DATE(YEAR(B136),MONTH(B136),1)</f>
        <v>46023</v>
      </c>
    </row>
    <row r="137" customFormat="false" ht="15" hidden="false" customHeight="false" outlineLevel="0" collapsed="false">
      <c r="A137" s="20" t="n">
        <v>136</v>
      </c>
      <c r="B137" s="21" t="n">
        <v>46037</v>
      </c>
      <c r="C137" s="20" t="s">
        <v>58</v>
      </c>
      <c r="D137" s="20" t="s">
        <v>51</v>
      </c>
      <c r="E137" s="20" t="s">
        <v>32</v>
      </c>
      <c r="F137" s="22" t="n">
        <v>98.17</v>
      </c>
      <c r="G137" s="20" t="s">
        <v>52</v>
      </c>
      <c r="H137" s="23" t="n">
        <f aca="false">DATE(YEAR(B137),MONTH(B137),1)</f>
        <v>46023</v>
      </c>
    </row>
    <row r="138" customFormat="false" ht="15" hidden="false" customHeight="false" outlineLevel="0" collapsed="false">
      <c r="A138" s="20" t="n">
        <v>137</v>
      </c>
      <c r="B138" s="21" t="n">
        <v>46037</v>
      </c>
      <c r="C138" s="20" t="s">
        <v>68</v>
      </c>
      <c r="D138" s="20" t="s">
        <v>48</v>
      </c>
      <c r="E138" s="20" t="s">
        <v>32</v>
      </c>
      <c r="F138" s="22" t="n">
        <v>49.52</v>
      </c>
      <c r="G138" s="20" t="s">
        <v>35</v>
      </c>
      <c r="H138" s="23" t="n">
        <f aca="false">DATE(YEAR(B138),MONTH(B138),1)</f>
        <v>46023</v>
      </c>
    </row>
    <row r="139" customFormat="false" ht="15" hidden="false" customHeight="false" outlineLevel="0" collapsed="false">
      <c r="A139" s="20" t="n">
        <v>138</v>
      </c>
      <c r="B139" s="21" t="n">
        <v>46038</v>
      </c>
      <c r="C139" s="20" t="s">
        <v>38</v>
      </c>
      <c r="D139" s="20" t="s">
        <v>39</v>
      </c>
      <c r="E139" s="20" t="s">
        <v>32</v>
      </c>
      <c r="F139" s="22" t="n">
        <v>94.77</v>
      </c>
      <c r="G139" s="20" t="s">
        <v>35</v>
      </c>
      <c r="H139" s="23" t="n">
        <f aca="false">DATE(YEAR(B139),MONTH(B139),1)</f>
        <v>46023</v>
      </c>
    </row>
    <row r="140" customFormat="false" ht="15" hidden="false" customHeight="false" outlineLevel="0" collapsed="false">
      <c r="A140" s="20" t="n">
        <v>139</v>
      </c>
      <c r="B140" s="21" t="n">
        <v>46039</v>
      </c>
      <c r="C140" s="20" t="s">
        <v>41</v>
      </c>
      <c r="D140" s="20" t="s">
        <v>39</v>
      </c>
      <c r="E140" s="20" t="s">
        <v>32</v>
      </c>
      <c r="F140" s="22" t="n">
        <v>99.12</v>
      </c>
      <c r="G140" s="20" t="s">
        <v>49</v>
      </c>
      <c r="H140" s="23" t="n">
        <f aca="false">DATE(YEAR(B140),MONTH(B140),1)</f>
        <v>46023</v>
      </c>
    </row>
    <row r="141" customFormat="false" ht="15" hidden="false" customHeight="false" outlineLevel="0" collapsed="false">
      <c r="A141" s="20" t="n">
        <v>140</v>
      </c>
      <c r="B141" s="21" t="n">
        <v>46039</v>
      </c>
      <c r="C141" s="20" t="s">
        <v>47</v>
      </c>
      <c r="D141" s="20" t="s">
        <v>48</v>
      </c>
      <c r="E141" s="20" t="s">
        <v>32</v>
      </c>
      <c r="F141" s="22" t="n">
        <v>57.22</v>
      </c>
      <c r="G141" s="20" t="s">
        <v>33</v>
      </c>
      <c r="H141" s="23" t="n">
        <f aca="false">DATE(YEAR(B141),MONTH(B141),1)</f>
        <v>46023</v>
      </c>
    </row>
    <row r="142" customFormat="false" ht="15" hidden="false" customHeight="false" outlineLevel="0" collapsed="false">
      <c r="A142" s="20" t="n">
        <v>141</v>
      </c>
      <c r="B142" s="21" t="n">
        <v>46041</v>
      </c>
      <c r="C142" s="20" t="s">
        <v>42</v>
      </c>
      <c r="D142" s="20" t="s">
        <v>39</v>
      </c>
      <c r="E142" s="20" t="s">
        <v>32</v>
      </c>
      <c r="F142" s="22" t="n">
        <v>36.34</v>
      </c>
      <c r="G142" s="20" t="s">
        <v>35</v>
      </c>
      <c r="H142" s="23" t="n">
        <f aca="false">DATE(YEAR(B142),MONTH(B142),1)</f>
        <v>46023</v>
      </c>
    </row>
    <row r="143" customFormat="false" ht="15" hidden="false" customHeight="false" outlineLevel="0" collapsed="false">
      <c r="A143" s="20" t="n">
        <v>142</v>
      </c>
      <c r="B143" s="21" t="n">
        <v>46041</v>
      </c>
      <c r="C143" s="20" t="s">
        <v>42</v>
      </c>
      <c r="D143" s="20" t="s">
        <v>39</v>
      </c>
      <c r="E143" s="20" t="s">
        <v>32</v>
      </c>
      <c r="F143" s="22" t="n">
        <v>49.74</v>
      </c>
      <c r="G143" s="20" t="s">
        <v>35</v>
      </c>
      <c r="H143" s="23" t="n">
        <f aca="false">DATE(YEAR(B143),MONTH(B143),1)</f>
        <v>46023</v>
      </c>
    </row>
    <row r="144" customFormat="false" ht="15" hidden="false" customHeight="false" outlineLevel="0" collapsed="false">
      <c r="A144" s="20" t="n">
        <v>143</v>
      </c>
      <c r="B144" s="21" t="n">
        <v>46042</v>
      </c>
      <c r="C144" s="20" t="s">
        <v>41</v>
      </c>
      <c r="D144" s="20" t="s">
        <v>39</v>
      </c>
      <c r="E144" s="20" t="s">
        <v>32</v>
      </c>
      <c r="F144" s="22" t="n">
        <v>36.96</v>
      </c>
      <c r="G144" s="20" t="s">
        <v>35</v>
      </c>
      <c r="H144" s="23" t="n">
        <f aca="false">DATE(YEAR(B144),MONTH(B144),1)</f>
        <v>46023</v>
      </c>
    </row>
    <row r="145" customFormat="false" ht="15" hidden="false" customHeight="false" outlineLevel="0" collapsed="false">
      <c r="A145" s="20" t="n">
        <v>144</v>
      </c>
      <c r="B145" s="21" t="n">
        <v>46042</v>
      </c>
      <c r="C145" s="20" t="s">
        <v>42</v>
      </c>
      <c r="D145" s="20" t="s">
        <v>39</v>
      </c>
      <c r="E145" s="20" t="s">
        <v>32</v>
      </c>
      <c r="F145" s="22" t="n">
        <v>27.67</v>
      </c>
      <c r="G145" s="20" t="s">
        <v>35</v>
      </c>
      <c r="H145" s="23" t="n">
        <f aca="false">DATE(YEAR(B145),MONTH(B145),1)</f>
        <v>46023</v>
      </c>
    </row>
    <row r="146" customFormat="false" ht="15" hidden="false" customHeight="false" outlineLevel="0" collapsed="false">
      <c r="A146" s="20" t="n">
        <v>145</v>
      </c>
      <c r="B146" s="21" t="n">
        <v>46044</v>
      </c>
      <c r="C146" s="20" t="s">
        <v>34</v>
      </c>
      <c r="D146" s="20" t="s">
        <v>31</v>
      </c>
      <c r="E146" s="20" t="s">
        <v>32</v>
      </c>
      <c r="F146" s="22" t="n">
        <v>30.62</v>
      </c>
      <c r="G146" s="20" t="s">
        <v>35</v>
      </c>
      <c r="H146" s="23" t="n">
        <f aca="false">DATE(YEAR(B146),MONTH(B146),1)</f>
        <v>46023</v>
      </c>
    </row>
    <row r="147" customFormat="false" ht="15" hidden="false" customHeight="false" outlineLevel="0" collapsed="false">
      <c r="A147" s="20" t="n">
        <v>146</v>
      </c>
      <c r="B147" s="21" t="n">
        <v>46046</v>
      </c>
      <c r="C147" s="20" t="s">
        <v>38</v>
      </c>
      <c r="D147" s="20" t="s">
        <v>39</v>
      </c>
      <c r="E147" s="20" t="s">
        <v>32</v>
      </c>
      <c r="F147" s="22" t="n">
        <v>156.75</v>
      </c>
      <c r="G147" s="20" t="s">
        <v>33</v>
      </c>
      <c r="H147" s="23" t="n">
        <f aca="false">DATE(YEAR(B147),MONTH(B147),1)</f>
        <v>46023</v>
      </c>
    </row>
    <row r="148" customFormat="false" ht="15" hidden="false" customHeight="false" outlineLevel="0" collapsed="false">
      <c r="A148" s="20" t="n">
        <v>147</v>
      </c>
      <c r="B148" s="21" t="n">
        <v>46047</v>
      </c>
      <c r="C148" s="20" t="s">
        <v>34</v>
      </c>
      <c r="D148" s="20" t="s">
        <v>31</v>
      </c>
      <c r="E148" s="20" t="s">
        <v>32</v>
      </c>
      <c r="F148" s="22" t="n">
        <v>36.33</v>
      </c>
      <c r="G148" s="20" t="s">
        <v>35</v>
      </c>
      <c r="H148" s="23" t="n">
        <f aca="false">DATE(YEAR(B148),MONTH(B148),1)</f>
        <v>46023</v>
      </c>
    </row>
    <row r="149" customFormat="false" ht="15" hidden="false" customHeight="false" outlineLevel="0" collapsed="false">
      <c r="A149" s="20" t="n">
        <v>148</v>
      </c>
      <c r="B149" s="21" t="n">
        <v>46048</v>
      </c>
      <c r="C149" s="20" t="s">
        <v>38</v>
      </c>
      <c r="D149" s="20" t="s">
        <v>39</v>
      </c>
      <c r="E149" s="20" t="s">
        <v>32</v>
      </c>
      <c r="F149" s="22" t="n">
        <v>158.92</v>
      </c>
      <c r="G149" s="20" t="s">
        <v>33</v>
      </c>
      <c r="H149" s="23" t="n">
        <f aca="false">DATE(YEAR(B149),MONTH(B149),1)</f>
        <v>46023</v>
      </c>
    </row>
    <row r="150" customFormat="false" ht="15" hidden="false" customHeight="false" outlineLevel="0" collapsed="false">
      <c r="A150" s="20" t="n">
        <v>149</v>
      </c>
      <c r="B150" s="21" t="n">
        <v>46050</v>
      </c>
      <c r="C150" s="20" t="s">
        <v>63</v>
      </c>
      <c r="D150" s="20" t="s">
        <v>64</v>
      </c>
      <c r="E150" s="20" t="s">
        <v>44</v>
      </c>
      <c r="F150" s="22" t="n">
        <v>45.07</v>
      </c>
      <c r="G150" s="20" t="s">
        <v>33</v>
      </c>
      <c r="H150" s="23" t="n">
        <f aca="false">DATE(YEAR(B150),MONTH(B150),1)</f>
        <v>46023</v>
      </c>
    </row>
    <row r="151" customFormat="false" ht="15" hidden="false" customHeight="false" outlineLevel="0" collapsed="false">
      <c r="A151" s="20" t="n">
        <v>150</v>
      </c>
      <c r="B151" s="21" t="n">
        <v>46055</v>
      </c>
      <c r="C151" s="20" t="s">
        <v>38</v>
      </c>
      <c r="D151" s="20" t="s">
        <v>39</v>
      </c>
      <c r="E151" s="20" t="s">
        <v>32</v>
      </c>
      <c r="F151" s="22" t="n">
        <v>70.57</v>
      </c>
      <c r="G151" s="20" t="s">
        <v>49</v>
      </c>
      <c r="H151" s="23" t="n">
        <f aca="false">DATE(YEAR(B151),MONTH(B151),1)</f>
        <v>46054</v>
      </c>
    </row>
    <row r="152" customFormat="false" ht="15" hidden="false" customHeight="false" outlineLevel="0" collapsed="false">
      <c r="A152" s="20" t="n">
        <v>151</v>
      </c>
      <c r="B152" s="21" t="n">
        <v>46055</v>
      </c>
      <c r="C152" s="20" t="s">
        <v>41</v>
      </c>
      <c r="D152" s="20" t="s">
        <v>39</v>
      </c>
      <c r="E152" s="20" t="s">
        <v>32</v>
      </c>
      <c r="F152" s="22" t="n">
        <v>92.93</v>
      </c>
      <c r="G152" s="20" t="s">
        <v>49</v>
      </c>
      <c r="H152" s="23" t="n">
        <f aca="false">DATE(YEAR(B152),MONTH(B152),1)</f>
        <v>46054</v>
      </c>
    </row>
    <row r="153" customFormat="false" ht="15" hidden="false" customHeight="false" outlineLevel="0" collapsed="false">
      <c r="A153" s="20" t="n">
        <v>152</v>
      </c>
      <c r="B153" s="21" t="n">
        <v>46055</v>
      </c>
      <c r="C153" s="20" t="s">
        <v>42</v>
      </c>
      <c r="D153" s="20" t="s">
        <v>39</v>
      </c>
      <c r="E153" s="20" t="s">
        <v>32</v>
      </c>
      <c r="F153" s="22" t="n">
        <v>63.75</v>
      </c>
      <c r="G153" s="20" t="s">
        <v>35</v>
      </c>
      <c r="H153" s="23" t="n">
        <f aca="false">DATE(YEAR(B153),MONTH(B153),1)</f>
        <v>46054</v>
      </c>
    </row>
    <row r="154" customFormat="false" ht="15" hidden="false" customHeight="false" outlineLevel="0" collapsed="false">
      <c r="A154" s="20" t="n">
        <v>153</v>
      </c>
      <c r="B154" s="21" t="n">
        <v>46055</v>
      </c>
      <c r="C154" s="20" t="s">
        <v>30</v>
      </c>
      <c r="D154" s="20" t="s">
        <v>31</v>
      </c>
      <c r="E154" s="20" t="s">
        <v>32</v>
      </c>
      <c r="F154" s="22" t="n">
        <v>150</v>
      </c>
      <c r="G154" s="20" t="s">
        <v>33</v>
      </c>
      <c r="H154" s="23" t="n">
        <f aca="false">DATE(YEAR(B154),MONTH(B154),1)</f>
        <v>46054</v>
      </c>
    </row>
    <row r="155" customFormat="false" ht="15" hidden="false" customHeight="false" outlineLevel="0" collapsed="false">
      <c r="A155" s="20" t="n">
        <v>154</v>
      </c>
      <c r="B155" s="21" t="n">
        <v>46056</v>
      </c>
      <c r="C155" s="20" t="s">
        <v>36</v>
      </c>
      <c r="D155" s="20" t="s">
        <v>37</v>
      </c>
      <c r="E155" s="20" t="s">
        <v>32</v>
      </c>
      <c r="F155" s="22" t="n">
        <v>109.9</v>
      </c>
      <c r="G155" s="20" t="s">
        <v>35</v>
      </c>
      <c r="H155" s="23" t="n">
        <f aca="false">DATE(YEAR(B155),MONTH(B155),1)</f>
        <v>46054</v>
      </c>
    </row>
    <row r="156" customFormat="false" ht="15" hidden="false" customHeight="false" outlineLevel="0" collapsed="false">
      <c r="A156" s="20" t="n">
        <v>155</v>
      </c>
      <c r="B156" s="21" t="n">
        <v>46056</v>
      </c>
      <c r="C156" s="20" t="s">
        <v>38</v>
      </c>
      <c r="D156" s="20" t="s">
        <v>39</v>
      </c>
      <c r="E156" s="20" t="s">
        <v>32</v>
      </c>
      <c r="F156" s="22" t="n">
        <v>171.49</v>
      </c>
      <c r="G156" s="20" t="s">
        <v>35</v>
      </c>
      <c r="H156" s="23" t="n">
        <f aca="false">DATE(YEAR(B156),MONTH(B156),1)</f>
        <v>46054</v>
      </c>
    </row>
    <row r="157" customFormat="false" ht="15" hidden="false" customHeight="false" outlineLevel="0" collapsed="false">
      <c r="A157" s="20" t="n">
        <v>156</v>
      </c>
      <c r="B157" s="21" t="n">
        <v>46057</v>
      </c>
      <c r="C157" s="20" t="s">
        <v>34</v>
      </c>
      <c r="D157" s="20" t="s">
        <v>31</v>
      </c>
      <c r="E157" s="20" t="s">
        <v>32</v>
      </c>
      <c r="F157" s="22" t="n">
        <v>21.2</v>
      </c>
      <c r="G157" s="20" t="s">
        <v>35</v>
      </c>
      <c r="H157" s="23" t="n">
        <f aca="false">DATE(YEAR(B157),MONTH(B157),1)</f>
        <v>46054</v>
      </c>
    </row>
    <row r="158" customFormat="false" ht="15" hidden="false" customHeight="false" outlineLevel="0" collapsed="false">
      <c r="A158" s="20" t="n">
        <v>157</v>
      </c>
      <c r="B158" s="21" t="n">
        <v>46058</v>
      </c>
      <c r="C158" s="20" t="s">
        <v>43</v>
      </c>
      <c r="D158" s="20" t="s">
        <v>43</v>
      </c>
      <c r="E158" s="20" t="s">
        <v>44</v>
      </c>
      <c r="F158" s="22" t="n">
        <v>5600</v>
      </c>
      <c r="G158" s="20" t="s">
        <v>33</v>
      </c>
      <c r="H158" s="23" t="n">
        <f aca="false">DATE(YEAR(B158),MONTH(B158),1)</f>
        <v>46054</v>
      </c>
    </row>
    <row r="159" customFormat="false" ht="15" hidden="false" customHeight="false" outlineLevel="0" collapsed="false">
      <c r="A159" s="20" t="n">
        <v>158</v>
      </c>
      <c r="B159" s="21" t="n">
        <v>46059</v>
      </c>
      <c r="C159" s="20" t="s">
        <v>45</v>
      </c>
      <c r="D159" s="20" t="s">
        <v>46</v>
      </c>
      <c r="E159" s="20" t="s">
        <v>32</v>
      </c>
      <c r="F159" s="22" t="n">
        <v>59.9</v>
      </c>
      <c r="G159" s="20" t="s">
        <v>35</v>
      </c>
      <c r="H159" s="23" t="n">
        <f aca="false">DATE(YEAR(B159),MONTH(B159),1)</f>
        <v>46054</v>
      </c>
    </row>
    <row r="160" customFormat="false" ht="15" hidden="false" customHeight="false" outlineLevel="0" collapsed="false">
      <c r="A160" s="20" t="n">
        <v>159</v>
      </c>
      <c r="B160" s="21" t="n">
        <v>46059</v>
      </c>
      <c r="C160" s="20" t="s">
        <v>69</v>
      </c>
      <c r="D160" s="20" t="s">
        <v>60</v>
      </c>
      <c r="E160" s="20" t="s">
        <v>32</v>
      </c>
      <c r="F160" s="22" t="n">
        <v>47.46</v>
      </c>
      <c r="G160" s="20" t="s">
        <v>35</v>
      </c>
      <c r="H160" s="23" t="n">
        <f aca="false">DATE(YEAR(B160),MONTH(B160),1)</f>
        <v>46054</v>
      </c>
    </row>
    <row r="161" customFormat="false" ht="15" hidden="false" customHeight="false" outlineLevel="0" collapsed="false">
      <c r="A161" s="20" t="n">
        <v>160</v>
      </c>
      <c r="B161" s="21" t="n">
        <v>46060</v>
      </c>
      <c r="C161" s="20" t="s">
        <v>38</v>
      </c>
      <c r="D161" s="20" t="s">
        <v>39</v>
      </c>
      <c r="E161" s="20" t="s">
        <v>32</v>
      </c>
      <c r="F161" s="22" t="n">
        <v>180</v>
      </c>
      <c r="G161" s="20" t="s">
        <v>35</v>
      </c>
      <c r="H161" s="23" t="n">
        <f aca="false">DATE(YEAR(B161),MONTH(B161),1)</f>
        <v>46054</v>
      </c>
    </row>
    <row r="162" customFormat="false" ht="15" hidden="false" customHeight="false" outlineLevel="0" collapsed="false">
      <c r="A162" s="20" t="n">
        <v>161</v>
      </c>
      <c r="B162" s="21" t="n">
        <v>46061</v>
      </c>
      <c r="C162" s="20" t="s">
        <v>50</v>
      </c>
      <c r="D162" s="20" t="s">
        <v>51</v>
      </c>
      <c r="E162" s="20" t="s">
        <v>32</v>
      </c>
      <c r="F162" s="22" t="n">
        <v>1350</v>
      </c>
      <c r="G162" s="20" t="s">
        <v>52</v>
      </c>
      <c r="H162" s="23" t="n">
        <f aca="false">DATE(YEAR(B162),MONTH(B162),1)</f>
        <v>46054</v>
      </c>
    </row>
    <row r="163" customFormat="false" ht="15" hidden="false" customHeight="false" outlineLevel="0" collapsed="false">
      <c r="A163" s="20" t="n">
        <v>162</v>
      </c>
      <c r="B163" s="21" t="n">
        <v>46061</v>
      </c>
      <c r="C163" s="20" t="s">
        <v>53</v>
      </c>
      <c r="D163" s="20" t="s">
        <v>51</v>
      </c>
      <c r="E163" s="20" t="s">
        <v>32</v>
      </c>
      <c r="F163" s="22" t="n">
        <v>250</v>
      </c>
      <c r="G163" s="20" t="s">
        <v>52</v>
      </c>
      <c r="H163" s="23" t="n">
        <f aca="false">DATE(YEAR(B163),MONTH(B163),1)</f>
        <v>46054</v>
      </c>
    </row>
    <row r="164" customFormat="false" ht="15" hidden="false" customHeight="false" outlineLevel="0" collapsed="false">
      <c r="A164" s="20" t="n">
        <v>163</v>
      </c>
      <c r="B164" s="21" t="n">
        <v>46063</v>
      </c>
      <c r="C164" s="20" t="s">
        <v>54</v>
      </c>
      <c r="D164" s="20" t="s">
        <v>51</v>
      </c>
      <c r="E164" s="20" t="s">
        <v>32</v>
      </c>
      <c r="F164" s="22" t="n">
        <v>99.9</v>
      </c>
      <c r="G164" s="20" t="s">
        <v>49</v>
      </c>
      <c r="H164" s="23" t="n">
        <f aca="false">DATE(YEAR(B164),MONTH(B164),1)</f>
        <v>46054</v>
      </c>
    </row>
    <row r="165" customFormat="false" ht="15" hidden="false" customHeight="false" outlineLevel="0" collapsed="false">
      <c r="A165" s="20" t="n">
        <v>164</v>
      </c>
      <c r="B165" s="21" t="n">
        <v>46063</v>
      </c>
      <c r="C165" s="20" t="s">
        <v>42</v>
      </c>
      <c r="D165" s="20" t="s">
        <v>39</v>
      </c>
      <c r="E165" s="20" t="s">
        <v>32</v>
      </c>
      <c r="F165" s="22" t="n">
        <v>41.32</v>
      </c>
      <c r="G165" s="20" t="s">
        <v>35</v>
      </c>
      <c r="H165" s="23" t="n">
        <f aca="false">DATE(YEAR(B165),MONTH(B165),1)</f>
        <v>46054</v>
      </c>
    </row>
    <row r="166" customFormat="false" ht="15" hidden="false" customHeight="false" outlineLevel="0" collapsed="false">
      <c r="A166" s="20" t="n">
        <v>165</v>
      </c>
      <c r="B166" s="21" t="n">
        <v>46065</v>
      </c>
      <c r="C166" s="20" t="s">
        <v>55</v>
      </c>
      <c r="D166" s="20" t="s">
        <v>56</v>
      </c>
      <c r="E166" s="20" t="s">
        <v>32</v>
      </c>
      <c r="F166" s="22" t="n">
        <v>39.9</v>
      </c>
      <c r="G166" s="20" t="s">
        <v>35</v>
      </c>
      <c r="H166" s="23" t="n">
        <f aca="false">DATE(YEAR(B166),MONTH(B166),1)</f>
        <v>46054</v>
      </c>
    </row>
    <row r="167" customFormat="false" ht="15" hidden="false" customHeight="false" outlineLevel="0" collapsed="false">
      <c r="A167" s="20" t="n">
        <v>166</v>
      </c>
      <c r="B167" s="21" t="n">
        <v>46067</v>
      </c>
      <c r="C167" s="20" t="s">
        <v>57</v>
      </c>
      <c r="D167" s="20" t="s">
        <v>56</v>
      </c>
      <c r="E167" s="20" t="s">
        <v>32</v>
      </c>
      <c r="F167" s="22" t="n">
        <v>21.9</v>
      </c>
      <c r="G167" s="20" t="s">
        <v>35</v>
      </c>
      <c r="H167" s="23" t="n">
        <f aca="false">DATE(YEAR(B167),MONTH(B167),1)</f>
        <v>46054</v>
      </c>
    </row>
    <row r="168" customFormat="false" ht="15" hidden="false" customHeight="false" outlineLevel="0" collapsed="false">
      <c r="A168" s="20" t="n">
        <v>167</v>
      </c>
      <c r="B168" s="21" t="n">
        <v>46067</v>
      </c>
      <c r="C168" s="20" t="s">
        <v>34</v>
      </c>
      <c r="D168" s="20" t="s">
        <v>31</v>
      </c>
      <c r="E168" s="20" t="s">
        <v>32</v>
      </c>
      <c r="F168" s="22" t="n">
        <v>37.32</v>
      </c>
      <c r="G168" s="20" t="s">
        <v>35</v>
      </c>
      <c r="H168" s="23" t="n">
        <f aca="false">DATE(YEAR(B168),MONTH(B168),1)</f>
        <v>46054</v>
      </c>
    </row>
    <row r="169" customFormat="false" ht="15" hidden="false" customHeight="false" outlineLevel="0" collapsed="false">
      <c r="A169" s="20" t="n">
        <v>168</v>
      </c>
      <c r="B169" s="21" t="n">
        <v>46067</v>
      </c>
      <c r="C169" s="20" t="s">
        <v>68</v>
      </c>
      <c r="D169" s="20" t="s">
        <v>48</v>
      </c>
      <c r="E169" s="20" t="s">
        <v>32</v>
      </c>
      <c r="F169" s="22" t="n">
        <v>63.32</v>
      </c>
      <c r="G169" s="20" t="s">
        <v>33</v>
      </c>
      <c r="H169" s="23" t="n">
        <f aca="false">DATE(YEAR(B169),MONTH(B169),1)</f>
        <v>46054</v>
      </c>
    </row>
    <row r="170" customFormat="false" ht="15" hidden="false" customHeight="false" outlineLevel="0" collapsed="false">
      <c r="A170" s="20" t="n">
        <v>169</v>
      </c>
      <c r="B170" s="21" t="n">
        <v>46068</v>
      </c>
      <c r="C170" s="20" t="s">
        <v>58</v>
      </c>
      <c r="D170" s="20" t="s">
        <v>51</v>
      </c>
      <c r="E170" s="20" t="s">
        <v>32</v>
      </c>
      <c r="F170" s="22" t="n">
        <v>163.98</v>
      </c>
      <c r="G170" s="20" t="s">
        <v>52</v>
      </c>
      <c r="H170" s="23" t="n">
        <f aca="false">DATE(YEAR(B170),MONTH(B170),1)</f>
        <v>46054</v>
      </c>
    </row>
    <row r="171" customFormat="false" ht="15" hidden="false" customHeight="false" outlineLevel="0" collapsed="false">
      <c r="A171" s="20" t="n">
        <v>170</v>
      </c>
      <c r="B171" s="21" t="n">
        <v>46068</v>
      </c>
      <c r="C171" s="20" t="s">
        <v>41</v>
      </c>
      <c r="D171" s="20" t="s">
        <v>39</v>
      </c>
      <c r="E171" s="20" t="s">
        <v>32</v>
      </c>
      <c r="F171" s="22" t="n">
        <v>72.27</v>
      </c>
      <c r="G171" s="20" t="s">
        <v>33</v>
      </c>
      <c r="H171" s="23" t="n">
        <f aca="false">DATE(YEAR(B171),MONTH(B171),1)</f>
        <v>46054</v>
      </c>
    </row>
    <row r="172" customFormat="false" ht="15" hidden="false" customHeight="false" outlineLevel="0" collapsed="false">
      <c r="A172" s="20" t="n">
        <v>171</v>
      </c>
      <c r="B172" s="21" t="n">
        <v>46070</v>
      </c>
      <c r="C172" s="20" t="s">
        <v>76</v>
      </c>
      <c r="D172" s="20" t="s">
        <v>37</v>
      </c>
      <c r="E172" s="20" t="s">
        <v>32</v>
      </c>
      <c r="F172" s="22" t="n">
        <v>25.66</v>
      </c>
      <c r="G172" s="20" t="s">
        <v>33</v>
      </c>
      <c r="H172" s="23" t="n">
        <f aca="false">DATE(YEAR(B172),MONTH(B172),1)</f>
        <v>46054</v>
      </c>
    </row>
    <row r="173" customFormat="false" ht="15" hidden="false" customHeight="false" outlineLevel="0" collapsed="false">
      <c r="A173" s="20" t="n">
        <v>172</v>
      </c>
      <c r="B173" s="21" t="n">
        <v>46070</v>
      </c>
      <c r="C173" s="20" t="s">
        <v>38</v>
      </c>
      <c r="D173" s="20" t="s">
        <v>39</v>
      </c>
      <c r="E173" s="20" t="s">
        <v>32</v>
      </c>
      <c r="F173" s="22" t="n">
        <v>148.17</v>
      </c>
      <c r="G173" s="20" t="s">
        <v>49</v>
      </c>
      <c r="H173" s="23" t="n">
        <f aca="false">DATE(YEAR(B173),MONTH(B173),1)</f>
        <v>46054</v>
      </c>
    </row>
    <row r="174" customFormat="false" ht="15" hidden="false" customHeight="false" outlineLevel="0" collapsed="false">
      <c r="A174" s="20" t="n">
        <v>173</v>
      </c>
      <c r="B174" s="21" t="n">
        <v>46071</v>
      </c>
      <c r="C174" s="20" t="s">
        <v>38</v>
      </c>
      <c r="D174" s="20" t="s">
        <v>39</v>
      </c>
      <c r="E174" s="20" t="s">
        <v>32</v>
      </c>
      <c r="F174" s="22" t="n">
        <v>94.87</v>
      </c>
      <c r="G174" s="20" t="s">
        <v>35</v>
      </c>
      <c r="H174" s="23" t="n">
        <f aca="false">DATE(YEAR(B174),MONTH(B174),1)</f>
        <v>46054</v>
      </c>
    </row>
    <row r="175" customFormat="false" ht="15" hidden="false" customHeight="false" outlineLevel="0" collapsed="false">
      <c r="A175" s="20" t="n">
        <v>174</v>
      </c>
      <c r="B175" s="21" t="n">
        <v>46071</v>
      </c>
      <c r="C175" s="20" t="s">
        <v>41</v>
      </c>
      <c r="D175" s="20" t="s">
        <v>39</v>
      </c>
      <c r="E175" s="20" t="s">
        <v>32</v>
      </c>
      <c r="F175" s="22" t="n">
        <v>32.71</v>
      </c>
      <c r="G175" s="20" t="s">
        <v>35</v>
      </c>
      <c r="H175" s="23" t="n">
        <f aca="false">DATE(YEAR(B175),MONTH(B175),1)</f>
        <v>46054</v>
      </c>
    </row>
    <row r="176" customFormat="false" ht="15" hidden="false" customHeight="false" outlineLevel="0" collapsed="false">
      <c r="A176" s="20" t="n">
        <v>175</v>
      </c>
      <c r="B176" s="21" t="n">
        <v>46071</v>
      </c>
      <c r="C176" s="20" t="s">
        <v>41</v>
      </c>
      <c r="D176" s="20" t="s">
        <v>39</v>
      </c>
      <c r="E176" s="20" t="s">
        <v>32</v>
      </c>
      <c r="F176" s="22" t="n">
        <v>42.81</v>
      </c>
      <c r="G176" s="20" t="s">
        <v>35</v>
      </c>
      <c r="H176" s="23" t="n">
        <f aca="false">DATE(YEAR(B176),MONTH(B176),1)</f>
        <v>46054</v>
      </c>
    </row>
    <row r="177" customFormat="false" ht="15" hidden="false" customHeight="false" outlineLevel="0" collapsed="false">
      <c r="A177" s="20" t="n">
        <v>176</v>
      </c>
      <c r="B177" s="21" t="n">
        <v>46071</v>
      </c>
      <c r="C177" s="20" t="s">
        <v>34</v>
      </c>
      <c r="D177" s="20" t="s">
        <v>31</v>
      </c>
      <c r="E177" s="20" t="s">
        <v>32</v>
      </c>
      <c r="F177" s="22" t="n">
        <v>34.99</v>
      </c>
      <c r="G177" s="20" t="s">
        <v>35</v>
      </c>
      <c r="H177" s="23" t="n">
        <f aca="false">DATE(YEAR(B177),MONTH(B177),1)</f>
        <v>46054</v>
      </c>
    </row>
    <row r="178" customFormat="false" ht="15" hidden="false" customHeight="false" outlineLevel="0" collapsed="false">
      <c r="A178" s="20" t="n">
        <v>177</v>
      </c>
      <c r="B178" s="21" t="n">
        <v>46073</v>
      </c>
      <c r="C178" s="20" t="s">
        <v>38</v>
      </c>
      <c r="D178" s="20" t="s">
        <v>39</v>
      </c>
      <c r="E178" s="20" t="s">
        <v>32</v>
      </c>
      <c r="F178" s="22" t="n">
        <v>103.7</v>
      </c>
      <c r="G178" s="20" t="s">
        <v>35</v>
      </c>
      <c r="H178" s="23" t="n">
        <f aca="false">DATE(YEAR(B178),MONTH(B178),1)</f>
        <v>46054</v>
      </c>
    </row>
    <row r="179" customFormat="false" ht="15" hidden="false" customHeight="false" outlineLevel="0" collapsed="false">
      <c r="A179" s="20" t="n">
        <v>178</v>
      </c>
      <c r="B179" s="21" t="n">
        <v>46074</v>
      </c>
      <c r="C179" s="20" t="s">
        <v>38</v>
      </c>
      <c r="D179" s="20" t="s">
        <v>39</v>
      </c>
      <c r="E179" s="20" t="s">
        <v>32</v>
      </c>
      <c r="F179" s="22" t="n">
        <v>226.77</v>
      </c>
      <c r="G179" s="20" t="s">
        <v>49</v>
      </c>
      <c r="H179" s="23" t="n">
        <f aca="false">DATE(YEAR(B179),MONTH(B179),1)</f>
        <v>46054</v>
      </c>
    </row>
    <row r="180" customFormat="false" ht="15" hidden="false" customHeight="false" outlineLevel="0" collapsed="false">
      <c r="A180" s="20" t="n">
        <v>179</v>
      </c>
      <c r="B180" s="21" t="n">
        <v>46075</v>
      </c>
      <c r="C180" s="20" t="s">
        <v>76</v>
      </c>
      <c r="D180" s="20" t="s">
        <v>37</v>
      </c>
      <c r="E180" s="20" t="s">
        <v>32</v>
      </c>
      <c r="F180" s="22" t="n">
        <v>33.8</v>
      </c>
      <c r="G180" s="20" t="s">
        <v>49</v>
      </c>
      <c r="H180" s="23" t="n">
        <f aca="false">DATE(YEAR(B180),MONTH(B180),1)</f>
        <v>46054</v>
      </c>
    </row>
    <row r="181" customFormat="false" ht="15" hidden="false" customHeight="false" outlineLevel="0" collapsed="false">
      <c r="A181" s="20" t="n">
        <v>180</v>
      </c>
      <c r="B181" s="21" t="n">
        <v>46075</v>
      </c>
      <c r="C181" s="20" t="s">
        <v>34</v>
      </c>
      <c r="D181" s="20" t="s">
        <v>31</v>
      </c>
      <c r="E181" s="20" t="s">
        <v>32</v>
      </c>
      <c r="F181" s="22" t="n">
        <v>18.49</v>
      </c>
      <c r="G181" s="20" t="s">
        <v>35</v>
      </c>
      <c r="H181" s="23" t="n">
        <f aca="false">DATE(YEAR(B181),MONTH(B181),1)</f>
        <v>46054</v>
      </c>
    </row>
    <row r="182" customFormat="false" ht="15" hidden="false" customHeight="false" outlineLevel="0" collapsed="false">
      <c r="A182" s="20" t="n">
        <v>181</v>
      </c>
      <c r="B182" s="21" t="n">
        <v>46076</v>
      </c>
      <c r="C182" s="20" t="s">
        <v>41</v>
      </c>
      <c r="D182" s="20" t="s">
        <v>39</v>
      </c>
      <c r="E182" s="20" t="s">
        <v>32</v>
      </c>
      <c r="F182" s="22" t="n">
        <v>97.99</v>
      </c>
      <c r="G182" s="20" t="s">
        <v>49</v>
      </c>
      <c r="H182" s="23" t="n">
        <f aca="false">DATE(YEAR(B182),MONTH(B182),1)</f>
        <v>46054</v>
      </c>
    </row>
    <row r="183" customFormat="false" ht="15" hidden="false" customHeight="false" outlineLevel="0" collapsed="false">
      <c r="A183" s="20" t="n">
        <v>182</v>
      </c>
      <c r="B183" s="21" t="n">
        <v>46077</v>
      </c>
      <c r="C183" s="20" t="s">
        <v>34</v>
      </c>
      <c r="D183" s="20" t="s">
        <v>31</v>
      </c>
      <c r="E183" s="20" t="s">
        <v>32</v>
      </c>
      <c r="F183" s="22" t="n">
        <v>16.02</v>
      </c>
      <c r="G183" s="20" t="s">
        <v>35</v>
      </c>
      <c r="H183" s="23" t="n">
        <f aca="false">DATE(YEAR(B183),MONTH(B183),1)</f>
        <v>46054</v>
      </c>
    </row>
    <row r="184" customFormat="false" ht="15" hidden="false" customHeight="false" outlineLevel="0" collapsed="false">
      <c r="A184" s="20" t="n">
        <v>183</v>
      </c>
      <c r="B184" s="21" t="n">
        <v>46079</v>
      </c>
      <c r="C184" s="20" t="s">
        <v>42</v>
      </c>
      <c r="D184" s="20" t="s">
        <v>39</v>
      </c>
      <c r="E184" s="20" t="s">
        <v>32</v>
      </c>
      <c r="F184" s="22" t="n">
        <v>66.83</v>
      </c>
      <c r="G184" s="20" t="s">
        <v>35</v>
      </c>
      <c r="H184" s="23" t="n">
        <f aca="false">DATE(YEAR(B184),MONTH(B184),1)</f>
        <v>46054</v>
      </c>
    </row>
    <row r="185" customFormat="false" ht="15" hidden="false" customHeight="false" outlineLevel="0" collapsed="false">
      <c r="A185" s="20" t="n">
        <v>184</v>
      </c>
      <c r="B185" s="21" t="n">
        <v>46079</v>
      </c>
      <c r="C185" s="20" t="s">
        <v>71</v>
      </c>
      <c r="D185" s="20" t="s">
        <v>48</v>
      </c>
      <c r="E185" s="20" t="s">
        <v>32</v>
      </c>
      <c r="F185" s="22" t="n">
        <v>144.29</v>
      </c>
      <c r="G185" s="20" t="s">
        <v>49</v>
      </c>
      <c r="H185" s="23" t="n">
        <f aca="false">DATE(YEAR(B185),MONTH(B185),1)</f>
        <v>46054</v>
      </c>
    </row>
    <row r="186" customFormat="false" ht="15" hidden="false" customHeight="false" outlineLevel="0" collapsed="false">
      <c r="A186" s="20" t="n">
        <v>185</v>
      </c>
      <c r="B186" s="21" t="n">
        <v>46081</v>
      </c>
      <c r="C186" s="20" t="s">
        <v>63</v>
      </c>
      <c r="D186" s="20" t="s">
        <v>64</v>
      </c>
      <c r="E186" s="20" t="s">
        <v>44</v>
      </c>
      <c r="F186" s="22" t="n">
        <v>36.35</v>
      </c>
      <c r="G186" s="20" t="s">
        <v>33</v>
      </c>
      <c r="H186" s="23" t="n">
        <f aca="false">DATE(YEAR(B186),MONTH(B186),1)</f>
        <v>46054</v>
      </c>
    </row>
    <row r="187" customFormat="false" ht="15" hidden="false" customHeight="false" outlineLevel="0" collapsed="false">
      <c r="A187" s="20" t="n">
        <v>186</v>
      </c>
      <c r="B187" s="21" t="n">
        <v>46081</v>
      </c>
      <c r="C187" s="20" t="s">
        <v>70</v>
      </c>
      <c r="D187" s="20" t="s">
        <v>48</v>
      </c>
      <c r="E187" s="20" t="s">
        <v>32</v>
      </c>
      <c r="F187" s="22" t="n">
        <v>166.91</v>
      </c>
      <c r="G187" s="20" t="s">
        <v>35</v>
      </c>
      <c r="H187" s="23" t="n">
        <f aca="false">DATE(YEAR(B187),MONTH(B187),1)</f>
        <v>46054</v>
      </c>
    </row>
    <row r="188" customFormat="false" ht="15" hidden="false" customHeight="false" outlineLevel="0" collapsed="false">
      <c r="A188" s="20" t="n">
        <v>187</v>
      </c>
      <c r="B188" s="21" t="n">
        <v>46081</v>
      </c>
      <c r="C188" s="20" t="s">
        <v>72</v>
      </c>
      <c r="D188" s="20" t="s">
        <v>60</v>
      </c>
      <c r="E188" s="20" t="s">
        <v>32</v>
      </c>
      <c r="F188" s="22" t="n">
        <v>35.13</v>
      </c>
      <c r="G188" s="20" t="s">
        <v>33</v>
      </c>
      <c r="H188" s="23" t="n">
        <f aca="false">DATE(YEAR(B188),MONTH(B188),1)</f>
        <v>46054</v>
      </c>
    </row>
    <row r="189" customFormat="false" ht="15" hidden="false" customHeight="false" outlineLevel="0" collapsed="false">
      <c r="A189" s="20" t="n">
        <v>188</v>
      </c>
      <c r="B189" s="21" t="n">
        <v>46082</v>
      </c>
      <c r="C189" s="20" t="s">
        <v>41</v>
      </c>
      <c r="D189" s="20" t="s">
        <v>39</v>
      </c>
      <c r="E189" s="20" t="s">
        <v>32</v>
      </c>
      <c r="F189" s="22" t="n">
        <v>69.95</v>
      </c>
      <c r="G189" s="20" t="s">
        <v>49</v>
      </c>
      <c r="H189" s="23" t="n">
        <f aca="false">DATE(YEAR(B189),MONTH(B189),1)</f>
        <v>46082</v>
      </c>
    </row>
    <row r="190" customFormat="false" ht="15" hidden="false" customHeight="false" outlineLevel="0" collapsed="false">
      <c r="A190" s="20" t="n">
        <v>189</v>
      </c>
      <c r="B190" s="21" t="n">
        <v>46083</v>
      </c>
      <c r="C190" s="20" t="s">
        <v>38</v>
      </c>
      <c r="D190" s="20" t="s">
        <v>39</v>
      </c>
      <c r="E190" s="20" t="s">
        <v>32</v>
      </c>
      <c r="F190" s="22" t="n">
        <v>87.34</v>
      </c>
      <c r="G190" s="20" t="s">
        <v>35</v>
      </c>
      <c r="H190" s="23" t="n">
        <f aca="false">DATE(YEAR(B190),MONTH(B190),1)</f>
        <v>46082</v>
      </c>
    </row>
    <row r="191" customFormat="false" ht="15" hidden="false" customHeight="false" outlineLevel="0" collapsed="false">
      <c r="A191" s="20" t="n">
        <v>190</v>
      </c>
      <c r="B191" s="21" t="n">
        <v>46083</v>
      </c>
      <c r="C191" s="20" t="s">
        <v>30</v>
      </c>
      <c r="D191" s="20" t="s">
        <v>31</v>
      </c>
      <c r="E191" s="20" t="s">
        <v>32</v>
      </c>
      <c r="F191" s="22" t="n">
        <v>150</v>
      </c>
      <c r="G191" s="20" t="s">
        <v>33</v>
      </c>
      <c r="H191" s="23" t="n">
        <f aca="false">DATE(YEAR(B191),MONTH(B191),1)</f>
        <v>46082</v>
      </c>
    </row>
    <row r="192" customFormat="false" ht="15" hidden="false" customHeight="false" outlineLevel="0" collapsed="false">
      <c r="A192" s="20" t="n">
        <v>191</v>
      </c>
      <c r="B192" s="21" t="n">
        <v>46084</v>
      </c>
      <c r="C192" s="20" t="s">
        <v>36</v>
      </c>
      <c r="D192" s="20" t="s">
        <v>37</v>
      </c>
      <c r="E192" s="20" t="s">
        <v>32</v>
      </c>
      <c r="F192" s="22" t="n">
        <v>109.9</v>
      </c>
      <c r="G192" s="20" t="s">
        <v>35</v>
      </c>
      <c r="H192" s="23" t="n">
        <f aca="false">DATE(YEAR(B192),MONTH(B192),1)</f>
        <v>46082</v>
      </c>
    </row>
    <row r="193" customFormat="false" ht="15" hidden="false" customHeight="false" outlineLevel="0" collapsed="false">
      <c r="A193" s="20" t="n">
        <v>192</v>
      </c>
      <c r="B193" s="21" t="n">
        <v>46085</v>
      </c>
      <c r="C193" s="20" t="s">
        <v>38</v>
      </c>
      <c r="D193" s="20" t="s">
        <v>39</v>
      </c>
      <c r="E193" s="20" t="s">
        <v>32</v>
      </c>
      <c r="F193" s="22" t="n">
        <v>210.33</v>
      </c>
      <c r="G193" s="20" t="s">
        <v>35</v>
      </c>
      <c r="H193" s="23" t="n">
        <f aca="false">DATE(YEAR(B193),MONTH(B193),1)</f>
        <v>46082</v>
      </c>
    </row>
    <row r="194" customFormat="false" ht="15" hidden="false" customHeight="false" outlineLevel="0" collapsed="false">
      <c r="A194" s="20" t="n">
        <v>193</v>
      </c>
      <c r="B194" s="21" t="n">
        <v>46085</v>
      </c>
      <c r="C194" s="20" t="s">
        <v>38</v>
      </c>
      <c r="D194" s="20" t="s">
        <v>39</v>
      </c>
      <c r="E194" s="20" t="s">
        <v>32</v>
      </c>
      <c r="F194" s="22" t="n">
        <v>131.63</v>
      </c>
      <c r="G194" s="20" t="s">
        <v>33</v>
      </c>
      <c r="H194" s="23" t="n">
        <f aca="false">DATE(YEAR(B194),MONTH(B194),1)</f>
        <v>46082</v>
      </c>
    </row>
    <row r="195" customFormat="false" ht="15" hidden="false" customHeight="false" outlineLevel="0" collapsed="false">
      <c r="A195" s="20" t="n">
        <v>194</v>
      </c>
      <c r="B195" s="21" t="n">
        <v>46086</v>
      </c>
      <c r="C195" s="20" t="s">
        <v>43</v>
      </c>
      <c r="D195" s="20" t="s">
        <v>43</v>
      </c>
      <c r="E195" s="20" t="s">
        <v>44</v>
      </c>
      <c r="F195" s="22" t="n">
        <v>5600</v>
      </c>
      <c r="G195" s="20" t="s">
        <v>33</v>
      </c>
      <c r="H195" s="23" t="n">
        <f aca="false">DATE(YEAR(B195),MONTH(B195),1)</f>
        <v>46082</v>
      </c>
    </row>
    <row r="196" customFormat="false" ht="15" hidden="false" customHeight="false" outlineLevel="0" collapsed="false">
      <c r="A196" s="20" t="n">
        <v>195</v>
      </c>
      <c r="B196" s="21" t="n">
        <v>46086</v>
      </c>
      <c r="C196" s="20" t="s">
        <v>34</v>
      </c>
      <c r="D196" s="20" t="s">
        <v>31</v>
      </c>
      <c r="E196" s="20" t="s">
        <v>32</v>
      </c>
      <c r="F196" s="22" t="n">
        <v>16.99</v>
      </c>
      <c r="G196" s="20" t="s">
        <v>35</v>
      </c>
      <c r="H196" s="23" t="n">
        <f aca="false">DATE(YEAR(B196),MONTH(B196),1)</f>
        <v>46082</v>
      </c>
    </row>
    <row r="197" customFormat="false" ht="15" hidden="false" customHeight="false" outlineLevel="0" collapsed="false">
      <c r="A197" s="20" t="n">
        <v>196</v>
      </c>
      <c r="B197" s="21" t="n">
        <v>46087</v>
      </c>
      <c r="C197" s="20" t="s">
        <v>45</v>
      </c>
      <c r="D197" s="20" t="s">
        <v>46</v>
      </c>
      <c r="E197" s="20" t="s">
        <v>32</v>
      </c>
      <c r="F197" s="22" t="n">
        <v>59.9</v>
      </c>
      <c r="G197" s="20" t="s">
        <v>35</v>
      </c>
      <c r="H197" s="23" t="n">
        <f aca="false">DATE(YEAR(B197),MONTH(B197),1)</f>
        <v>46082</v>
      </c>
    </row>
    <row r="198" customFormat="false" ht="15" hidden="false" customHeight="false" outlineLevel="0" collapsed="false">
      <c r="A198" s="20" t="n">
        <v>197</v>
      </c>
      <c r="B198" s="21" t="n">
        <v>46087</v>
      </c>
      <c r="C198" s="20" t="s">
        <v>38</v>
      </c>
      <c r="D198" s="20" t="s">
        <v>39</v>
      </c>
      <c r="E198" s="20" t="s">
        <v>32</v>
      </c>
      <c r="F198" s="22" t="n">
        <v>162.89</v>
      </c>
      <c r="G198" s="20" t="s">
        <v>35</v>
      </c>
      <c r="H198" s="23" t="n">
        <f aca="false">DATE(YEAR(B198),MONTH(B198),1)</f>
        <v>46082</v>
      </c>
    </row>
    <row r="199" customFormat="false" ht="15" hidden="false" customHeight="false" outlineLevel="0" collapsed="false">
      <c r="A199" s="20" t="n">
        <v>198</v>
      </c>
      <c r="B199" s="21" t="n">
        <v>46088</v>
      </c>
      <c r="C199" s="20" t="s">
        <v>77</v>
      </c>
      <c r="D199" s="20" t="s">
        <v>62</v>
      </c>
      <c r="E199" s="20" t="s">
        <v>32</v>
      </c>
      <c r="F199" s="22" t="n">
        <v>268.43</v>
      </c>
      <c r="G199" s="20" t="s">
        <v>35</v>
      </c>
      <c r="H199" s="23" t="n">
        <f aca="false">DATE(YEAR(B199),MONTH(B199),1)</f>
        <v>46082</v>
      </c>
    </row>
    <row r="200" customFormat="false" ht="15" hidden="false" customHeight="false" outlineLevel="0" collapsed="false">
      <c r="A200" s="20" t="n">
        <v>199</v>
      </c>
      <c r="B200" s="21" t="n">
        <v>46089</v>
      </c>
      <c r="C200" s="20" t="s">
        <v>50</v>
      </c>
      <c r="D200" s="20" t="s">
        <v>51</v>
      </c>
      <c r="E200" s="20" t="s">
        <v>32</v>
      </c>
      <c r="F200" s="22" t="n">
        <v>1350</v>
      </c>
      <c r="G200" s="20" t="s">
        <v>52</v>
      </c>
      <c r="H200" s="23" t="n">
        <f aca="false">DATE(YEAR(B200),MONTH(B200),1)</f>
        <v>46082</v>
      </c>
    </row>
    <row r="201" customFormat="false" ht="15" hidden="false" customHeight="false" outlineLevel="0" collapsed="false">
      <c r="A201" s="20" t="n">
        <v>200</v>
      </c>
      <c r="B201" s="21" t="n">
        <v>46089</v>
      </c>
      <c r="C201" s="20" t="s">
        <v>53</v>
      </c>
      <c r="D201" s="20" t="s">
        <v>51</v>
      </c>
      <c r="E201" s="20" t="s">
        <v>32</v>
      </c>
      <c r="F201" s="22" t="n">
        <v>250</v>
      </c>
      <c r="G201" s="20" t="s">
        <v>52</v>
      </c>
      <c r="H201" s="23" t="n">
        <f aca="false">DATE(YEAR(B201),MONTH(B201),1)</f>
        <v>46082</v>
      </c>
    </row>
    <row r="202" customFormat="false" ht="15" hidden="false" customHeight="false" outlineLevel="0" collapsed="false">
      <c r="A202" s="20" t="n">
        <v>201</v>
      </c>
      <c r="B202" s="21" t="n">
        <v>46090</v>
      </c>
      <c r="C202" s="20" t="s">
        <v>41</v>
      </c>
      <c r="D202" s="20" t="s">
        <v>39</v>
      </c>
      <c r="E202" s="20" t="s">
        <v>32</v>
      </c>
      <c r="F202" s="22" t="n">
        <v>35.24</v>
      </c>
      <c r="G202" s="20" t="s">
        <v>33</v>
      </c>
      <c r="H202" s="23" t="n">
        <f aca="false">DATE(YEAR(B202),MONTH(B202),1)</f>
        <v>46082</v>
      </c>
    </row>
    <row r="203" customFormat="false" ht="15" hidden="false" customHeight="false" outlineLevel="0" collapsed="false">
      <c r="A203" s="20" t="n">
        <v>202</v>
      </c>
      <c r="B203" s="21" t="n">
        <v>46091</v>
      </c>
      <c r="C203" s="20" t="s">
        <v>54</v>
      </c>
      <c r="D203" s="20" t="s">
        <v>51</v>
      </c>
      <c r="E203" s="20" t="s">
        <v>32</v>
      </c>
      <c r="F203" s="22" t="n">
        <v>99.9</v>
      </c>
      <c r="G203" s="20" t="s">
        <v>49</v>
      </c>
      <c r="H203" s="23" t="n">
        <f aca="false">DATE(YEAR(B203),MONTH(B203),1)</f>
        <v>46082</v>
      </c>
    </row>
    <row r="204" customFormat="false" ht="15" hidden="false" customHeight="false" outlineLevel="0" collapsed="false">
      <c r="A204" s="20" t="n">
        <v>203</v>
      </c>
      <c r="B204" s="21" t="n">
        <v>46091</v>
      </c>
      <c r="C204" s="20" t="s">
        <v>47</v>
      </c>
      <c r="D204" s="20" t="s">
        <v>48</v>
      </c>
      <c r="E204" s="20" t="s">
        <v>32</v>
      </c>
      <c r="F204" s="22" t="n">
        <v>67.32</v>
      </c>
      <c r="G204" s="20" t="s">
        <v>49</v>
      </c>
      <c r="H204" s="23" t="n">
        <f aca="false">DATE(YEAR(B204),MONTH(B204),1)</f>
        <v>46082</v>
      </c>
    </row>
    <row r="205" customFormat="false" ht="15" hidden="false" customHeight="false" outlineLevel="0" collapsed="false">
      <c r="A205" s="20" t="n">
        <v>204</v>
      </c>
      <c r="B205" s="21" t="n">
        <v>46093</v>
      </c>
      <c r="C205" s="20" t="s">
        <v>55</v>
      </c>
      <c r="D205" s="20" t="s">
        <v>56</v>
      </c>
      <c r="E205" s="20" t="s">
        <v>32</v>
      </c>
      <c r="F205" s="22" t="n">
        <v>39.9</v>
      </c>
      <c r="G205" s="20" t="s">
        <v>35</v>
      </c>
      <c r="H205" s="23" t="n">
        <f aca="false">DATE(YEAR(B205),MONTH(B205),1)</f>
        <v>46082</v>
      </c>
    </row>
    <row r="206" customFormat="false" ht="15" hidden="false" customHeight="false" outlineLevel="0" collapsed="false">
      <c r="A206" s="20" t="n">
        <v>205</v>
      </c>
      <c r="B206" s="21" t="n">
        <v>46093</v>
      </c>
      <c r="C206" s="20" t="s">
        <v>38</v>
      </c>
      <c r="D206" s="20" t="s">
        <v>39</v>
      </c>
      <c r="E206" s="20" t="s">
        <v>32</v>
      </c>
      <c r="F206" s="22" t="n">
        <v>186.57</v>
      </c>
      <c r="G206" s="20" t="s">
        <v>35</v>
      </c>
      <c r="H206" s="23" t="n">
        <f aca="false">DATE(YEAR(B206),MONTH(B206),1)</f>
        <v>46082</v>
      </c>
    </row>
    <row r="207" customFormat="false" ht="15" hidden="false" customHeight="false" outlineLevel="0" collapsed="false">
      <c r="A207" s="20" t="n">
        <v>206</v>
      </c>
      <c r="B207" s="21" t="n">
        <v>46093</v>
      </c>
      <c r="C207" s="20" t="s">
        <v>42</v>
      </c>
      <c r="D207" s="20" t="s">
        <v>39</v>
      </c>
      <c r="E207" s="20" t="s">
        <v>32</v>
      </c>
      <c r="F207" s="22" t="n">
        <v>44.11</v>
      </c>
      <c r="G207" s="20" t="s">
        <v>35</v>
      </c>
      <c r="H207" s="23" t="n">
        <f aca="false">DATE(YEAR(B207),MONTH(B207),1)</f>
        <v>46082</v>
      </c>
    </row>
    <row r="208" customFormat="false" ht="15" hidden="false" customHeight="false" outlineLevel="0" collapsed="false">
      <c r="A208" s="20" t="n">
        <v>207</v>
      </c>
      <c r="B208" s="21" t="n">
        <v>46095</v>
      </c>
      <c r="C208" s="20" t="s">
        <v>57</v>
      </c>
      <c r="D208" s="20" t="s">
        <v>56</v>
      </c>
      <c r="E208" s="20" t="s">
        <v>32</v>
      </c>
      <c r="F208" s="22" t="n">
        <v>21.9</v>
      </c>
      <c r="G208" s="20" t="s">
        <v>35</v>
      </c>
      <c r="H208" s="23" t="n">
        <f aca="false">DATE(YEAR(B208),MONTH(B208),1)</f>
        <v>46082</v>
      </c>
    </row>
    <row r="209" customFormat="false" ht="15" hidden="false" customHeight="false" outlineLevel="0" collapsed="false">
      <c r="A209" s="20" t="n">
        <v>208</v>
      </c>
      <c r="B209" s="21" t="n">
        <v>46095</v>
      </c>
      <c r="C209" s="20" t="s">
        <v>38</v>
      </c>
      <c r="D209" s="20" t="s">
        <v>39</v>
      </c>
      <c r="E209" s="20" t="s">
        <v>32</v>
      </c>
      <c r="F209" s="22" t="n">
        <v>166.99</v>
      </c>
      <c r="G209" s="20" t="s">
        <v>33</v>
      </c>
      <c r="H209" s="23" t="n">
        <f aca="false">DATE(YEAR(B209),MONTH(B209),1)</f>
        <v>46082</v>
      </c>
    </row>
    <row r="210" customFormat="false" ht="15" hidden="false" customHeight="false" outlineLevel="0" collapsed="false">
      <c r="A210" s="20" t="n">
        <v>209</v>
      </c>
      <c r="B210" s="21" t="n">
        <v>46095</v>
      </c>
      <c r="C210" s="20" t="s">
        <v>34</v>
      </c>
      <c r="D210" s="20" t="s">
        <v>31</v>
      </c>
      <c r="E210" s="20" t="s">
        <v>32</v>
      </c>
      <c r="F210" s="22" t="n">
        <v>20.48</v>
      </c>
      <c r="G210" s="20" t="s">
        <v>35</v>
      </c>
      <c r="H210" s="23" t="n">
        <f aca="false">DATE(YEAR(B210),MONTH(B210),1)</f>
        <v>46082</v>
      </c>
    </row>
    <row r="211" customFormat="false" ht="15" hidden="false" customHeight="false" outlineLevel="0" collapsed="false">
      <c r="A211" s="20" t="n">
        <v>210</v>
      </c>
      <c r="B211" s="21" t="n">
        <v>46096</v>
      </c>
      <c r="C211" s="20" t="s">
        <v>58</v>
      </c>
      <c r="D211" s="20" t="s">
        <v>51</v>
      </c>
      <c r="E211" s="20" t="s">
        <v>32</v>
      </c>
      <c r="F211" s="22" t="n">
        <v>116.88</v>
      </c>
      <c r="G211" s="20" t="s">
        <v>52</v>
      </c>
      <c r="H211" s="23" t="n">
        <f aca="false">DATE(YEAR(B211),MONTH(B211),1)</f>
        <v>46082</v>
      </c>
    </row>
    <row r="212" customFormat="false" ht="15" hidden="false" customHeight="false" outlineLevel="0" collapsed="false">
      <c r="A212" s="20" t="n">
        <v>211</v>
      </c>
      <c r="B212" s="21" t="n">
        <v>46098</v>
      </c>
      <c r="C212" s="20" t="s">
        <v>66</v>
      </c>
      <c r="D212" s="20" t="s">
        <v>67</v>
      </c>
      <c r="E212" s="20" t="s">
        <v>44</v>
      </c>
      <c r="F212" s="22" t="n">
        <v>578.34</v>
      </c>
      <c r="G212" s="20" t="s">
        <v>33</v>
      </c>
      <c r="H212" s="23" t="n">
        <f aca="false">DATE(YEAR(B212),MONTH(B212),1)</f>
        <v>46082</v>
      </c>
    </row>
    <row r="213" customFormat="false" ht="15" hidden="false" customHeight="false" outlineLevel="0" collapsed="false">
      <c r="A213" s="20" t="n">
        <v>212</v>
      </c>
      <c r="B213" s="21" t="n">
        <v>46098</v>
      </c>
      <c r="C213" s="20" t="s">
        <v>34</v>
      </c>
      <c r="D213" s="20" t="s">
        <v>31</v>
      </c>
      <c r="E213" s="20" t="s">
        <v>32</v>
      </c>
      <c r="F213" s="22" t="n">
        <v>20.04</v>
      </c>
      <c r="G213" s="20" t="s">
        <v>35</v>
      </c>
      <c r="H213" s="23" t="n">
        <f aca="false">DATE(YEAR(B213),MONTH(B213),1)</f>
        <v>46082</v>
      </c>
    </row>
    <row r="214" customFormat="false" ht="15" hidden="false" customHeight="false" outlineLevel="0" collapsed="false">
      <c r="A214" s="20" t="n">
        <v>213</v>
      </c>
      <c r="B214" s="21" t="n">
        <v>46098</v>
      </c>
      <c r="C214" s="20" t="s">
        <v>75</v>
      </c>
      <c r="D214" s="20" t="s">
        <v>60</v>
      </c>
      <c r="E214" s="20" t="s">
        <v>32</v>
      </c>
      <c r="F214" s="22" t="n">
        <v>25.19</v>
      </c>
      <c r="G214" s="20" t="s">
        <v>35</v>
      </c>
      <c r="H214" s="23" t="n">
        <f aca="false">DATE(YEAR(B214),MONTH(B214),1)</f>
        <v>46082</v>
      </c>
    </row>
    <row r="215" customFormat="false" ht="15" hidden="false" customHeight="false" outlineLevel="0" collapsed="false">
      <c r="A215" s="20" t="n">
        <v>214</v>
      </c>
      <c r="B215" s="21" t="n">
        <v>46101</v>
      </c>
      <c r="C215" s="20" t="s">
        <v>42</v>
      </c>
      <c r="D215" s="20" t="s">
        <v>39</v>
      </c>
      <c r="E215" s="20" t="s">
        <v>32</v>
      </c>
      <c r="F215" s="22" t="n">
        <v>39.18</v>
      </c>
      <c r="G215" s="20" t="s">
        <v>35</v>
      </c>
      <c r="H215" s="23" t="n">
        <f aca="false">DATE(YEAR(B215),MONTH(B215),1)</f>
        <v>46082</v>
      </c>
    </row>
    <row r="216" customFormat="false" ht="15" hidden="false" customHeight="false" outlineLevel="0" collapsed="false">
      <c r="A216" s="20" t="n">
        <v>215</v>
      </c>
      <c r="B216" s="21" t="n">
        <v>46101</v>
      </c>
      <c r="C216" s="20" t="s">
        <v>47</v>
      </c>
      <c r="D216" s="20" t="s">
        <v>48</v>
      </c>
      <c r="E216" s="20" t="s">
        <v>32</v>
      </c>
      <c r="F216" s="22" t="n">
        <v>92.79</v>
      </c>
      <c r="G216" s="20" t="s">
        <v>35</v>
      </c>
      <c r="H216" s="23" t="n">
        <f aca="false">DATE(YEAR(B216),MONTH(B216),1)</f>
        <v>46082</v>
      </c>
    </row>
    <row r="217" customFormat="false" ht="15" hidden="false" customHeight="false" outlineLevel="0" collapsed="false">
      <c r="A217" s="20" t="n">
        <v>216</v>
      </c>
      <c r="B217" s="21" t="n">
        <v>46101</v>
      </c>
      <c r="C217" s="20" t="s">
        <v>47</v>
      </c>
      <c r="D217" s="20" t="s">
        <v>48</v>
      </c>
      <c r="E217" s="20" t="s">
        <v>32</v>
      </c>
      <c r="F217" s="22" t="n">
        <v>100.45</v>
      </c>
      <c r="G217" s="20" t="s">
        <v>33</v>
      </c>
      <c r="H217" s="23" t="n">
        <f aca="false">DATE(YEAR(B217),MONTH(B217),1)</f>
        <v>46082</v>
      </c>
    </row>
    <row r="218" customFormat="false" ht="15" hidden="false" customHeight="false" outlineLevel="0" collapsed="false">
      <c r="A218" s="20" t="n">
        <v>217</v>
      </c>
      <c r="B218" s="21" t="n">
        <v>46103</v>
      </c>
      <c r="C218" s="20" t="s">
        <v>41</v>
      </c>
      <c r="D218" s="20" t="s">
        <v>39</v>
      </c>
      <c r="E218" s="20" t="s">
        <v>32</v>
      </c>
      <c r="F218" s="22" t="n">
        <v>84.52</v>
      </c>
      <c r="G218" s="20" t="s">
        <v>49</v>
      </c>
      <c r="H218" s="23" t="n">
        <f aca="false">DATE(YEAR(B218),MONTH(B218),1)</f>
        <v>46082</v>
      </c>
    </row>
    <row r="219" customFormat="false" ht="15" hidden="false" customHeight="false" outlineLevel="0" collapsed="false">
      <c r="A219" s="20" t="n">
        <v>218</v>
      </c>
      <c r="B219" s="21" t="n">
        <v>46103</v>
      </c>
      <c r="C219" s="20" t="s">
        <v>42</v>
      </c>
      <c r="D219" s="20" t="s">
        <v>39</v>
      </c>
      <c r="E219" s="20" t="s">
        <v>32</v>
      </c>
      <c r="F219" s="22" t="n">
        <v>64.67</v>
      </c>
      <c r="G219" s="20" t="s">
        <v>35</v>
      </c>
      <c r="H219" s="23" t="n">
        <f aca="false">DATE(YEAR(B219),MONTH(B219),1)</f>
        <v>46082</v>
      </c>
    </row>
    <row r="220" customFormat="false" ht="15" hidden="false" customHeight="false" outlineLevel="0" collapsed="false">
      <c r="A220" s="20" t="n">
        <v>219</v>
      </c>
      <c r="B220" s="21" t="n">
        <v>46103</v>
      </c>
      <c r="C220" s="20" t="s">
        <v>34</v>
      </c>
      <c r="D220" s="20" t="s">
        <v>31</v>
      </c>
      <c r="E220" s="20" t="s">
        <v>32</v>
      </c>
      <c r="F220" s="22" t="n">
        <v>36.45</v>
      </c>
      <c r="G220" s="20" t="s">
        <v>35</v>
      </c>
      <c r="H220" s="23" t="n">
        <f aca="false">DATE(YEAR(B220),MONTH(B220),1)</f>
        <v>46082</v>
      </c>
    </row>
    <row r="221" customFormat="false" ht="15" hidden="false" customHeight="false" outlineLevel="0" collapsed="false">
      <c r="A221" s="20" t="n">
        <v>220</v>
      </c>
      <c r="B221" s="21" t="n">
        <v>46103</v>
      </c>
      <c r="C221" s="20" t="s">
        <v>34</v>
      </c>
      <c r="D221" s="20" t="s">
        <v>31</v>
      </c>
      <c r="E221" s="20" t="s">
        <v>32</v>
      </c>
      <c r="F221" s="22" t="n">
        <v>31.45</v>
      </c>
      <c r="G221" s="20" t="s">
        <v>35</v>
      </c>
      <c r="H221" s="23" t="n">
        <f aca="false">DATE(YEAR(B221),MONTH(B221),1)</f>
        <v>46082</v>
      </c>
    </row>
    <row r="222" customFormat="false" ht="15" hidden="false" customHeight="false" outlineLevel="0" collapsed="false">
      <c r="A222" s="20" t="n">
        <v>221</v>
      </c>
      <c r="B222" s="21" t="n">
        <v>46103</v>
      </c>
      <c r="C222" s="20" t="s">
        <v>75</v>
      </c>
      <c r="D222" s="20" t="s">
        <v>60</v>
      </c>
      <c r="E222" s="20" t="s">
        <v>32</v>
      </c>
      <c r="F222" s="22" t="n">
        <v>35.3</v>
      </c>
      <c r="G222" s="20" t="s">
        <v>35</v>
      </c>
      <c r="H222" s="23" t="n">
        <f aca="false">DATE(YEAR(B222),MONTH(B222),1)</f>
        <v>46082</v>
      </c>
    </row>
    <row r="223" customFormat="false" ht="15" hidden="false" customHeight="false" outlineLevel="0" collapsed="false">
      <c r="A223" s="20" t="n">
        <v>222</v>
      </c>
      <c r="B223" s="21" t="n">
        <v>46104</v>
      </c>
      <c r="C223" s="20" t="s">
        <v>34</v>
      </c>
      <c r="D223" s="20" t="s">
        <v>31</v>
      </c>
      <c r="E223" s="20" t="s">
        <v>32</v>
      </c>
      <c r="F223" s="22" t="n">
        <v>19.69</v>
      </c>
      <c r="G223" s="20" t="s">
        <v>35</v>
      </c>
      <c r="H223" s="23" t="n">
        <f aca="false">DATE(YEAR(B223),MONTH(B223),1)</f>
        <v>46082</v>
      </c>
    </row>
    <row r="224" customFormat="false" ht="15" hidden="false" customHeight="false" outlineLevel="0" collapsed="false">
      <c r="A224" s="20" t="n">
        <v>223</v>
      </c>
      <c r="B224" s="21" t="n">
        <v>46107</v>
      </c>
      <c r="C224" s="20" t="s">
        <v>73</v>
      </c>
      <c r="D224" s="20" t="s">
        <v>62</v>
      </c>
      <c r="E224" s="20" t="s">
        <v>32</v>
      </c>
      <c r="F224" s="22" t="n">
        <v>234.71</v>
      </c>
      <c r="G224" s="20" t="s">
        <v>35</v>
      </c>
      <c r="H224" s="23" t="n">
        <f aca="false">DATE(YEAR(B224),MONTH(B224),1)</f>
        <v>46082</v>
      </c>
    </row>
    <row r="225" customFormat="false" ht="15" hidden="false" customHeight="false" outlineLevel="0" collapsed="false">
      <c r="A225" s="20" t="n">
        <v>224</v>
      </c>
      <c r="B225" s="21" t="n">
        <v>46108</v>
      </c>
      <c r="C225" s="20" t="s">
        <v>38</v>
      </c>
      <c r="D225" s="20" t="s">
        <v>39</v>
      </c>
      <c r="E225" s="20" t="s">
        <v>32</v>
      </c>
      <c r="F225" s="22" t="n">
        <v>155.79</v>
      </c>
      <c r="G225" s="20" t="s">
        <v>49</v>
      </c>
      <c r="H225" s="23" t="n">
        <f aca="false">DATE(YEAR(B225),MONTH(B225),1)</f>
        <v>46082</v>
      </c>
    </row>
    <row r="226" customFormat="false" ht="15" hidden="false" customHeight="false" outlineLevel="0" collapsed="false">
      <c r="A226" s="20" t="n">
        <v>225</v>
      </c>
      <c r="B226" s="21" t="n">
        <v>46109</v>
      </c>
      <c r="C226" s="20" t="s">
        <v>63</v>
      </c>
      <c r="D226" s="20" t="s">
        <v>64</v>
      </c>
      <c r="E226" s="20" t="s">
        <v>44</v>
      </c>
      <c r="F226" s="22" t="n">
        <v>37.8</v>
      </c>
      <c r="G226" s="20" t="s">
        <v>33</v>
      </c>
      <c r="H226" s="23" t="n">
        <f aca="false">DATE(YEAR(B226),MONTH(B226),1)</f>
        <v>46082</v>
      </c>
    </row>
    <row r="227" customFormat="false" ht="15" hidden="false" customHeight="false" outlineLevel="0" collapsed="false">
      <c r="A227" s="20" t="n">
        <v>226</v>
      </c>
      <c r="B227" s="21" t="n">
        <v>46109</v>
      </c>
      <c r="C227" s="20" t="s">
        <v>76</v>
      </c>
      <c r="D227" s="20" t="s">
        <v>37</v>
      </c>
      <c r="E227" s="20" t="s">
        <v>32</v>
      </c>
      <c r="F227" s="22" t="n">
        <v>30.9</v>
      </c>
      <c r="G227" s="20" t="s">
        <v>33</v>
      </c>
      <c r="H227" s="23" t="n">
        <f aca="false">DATE(YEAR(B227),MONTH(B227),1)</f>
        <v>46082</v>
      </c>
    </row>
    <row r="228" customFormat="false" ht="15" hidden="false" customHeight="false" outlineLevel="0" collapsed="false">
      <c r="A228" s="20" t="n">
        <v>227</v>
      </c>
      <c r="B228" s="21" t="n">
        <v>46109</v>
      </c>
      <c r="C228" s="20" t="s">
        <v>42</v>
      </c>
      <c r="D228" s="20" t="s">
        <v>39</v>
      </c>
      <c r="E228" s="20" t="s">
        <v>32</v>
      </c>
      <c r="F228" s="22" t="n">
        <v>31.23</v>
      </c>
      <c r="G228" s="20" t="s">
        <v>35</v>
      </c>
      <c r="H228" s="23" t="n">
        <f aca="false">DATE(YEAR(B228),MONTH(B228),1)</f>
        <v>46082</v>
      </c>
    </row>
    <row r="229" customFormat="false" ht="15" hidden="false" customHeight="false" outlineLevel="0" collapsed="false">
      <c r="A229" s="20" t="n">
        <v>228</v>
      </c>
      <c r="B229" s="21" t="n">
        <v>46114</v>
      </c>
      <c r="C229" s="20" t="s">
        <v>30</v>
      </c>
      <c r="D229" s="20" t="s">
        <v>31</v>
      </c>
      <c r="E229" s="20" t="s">
        <v>32</v>
      </c>
      <c r="F229" s="22" t="n">
        <v>150</v>
      </c>
      <c r="G229" s="20" t="s">
        <v>33</v>
      </c>
      <c r="H229" s="23" t="n">
        <f aca="false">DATE(YEAR(B229),MONTH(B229),1)</f>
        <v>46113</v>
      </c>
    </row>
    <row r="230" customFormat="false" ht="15" hidden="false" customHeight="false" outlineLevel="0" collapsed="false">
      <c r="A230" s="20" t="n">
        <v>229</v>
      </c>
      <c r="B230" s="21" t="n">
        <v>46115</v>
      </c>
      <c r="C230" s="20" t="s">
        <v>36</v>
      </c>
      <c r="D230" s="20" t="s">
        <v>37</v>
      </c>
      <c r="E230" s="20" t="s">
        <v>32</v>
      </c>
      <c r="F230" s="22" t="n">
        <v>109.9</v>
      </c>
      <c r="G230" s="20" t="s">
        <v>35</v>
      </c>
      <c r="H230" s="23" t="n">
        <f aca="false">DATE(YEAR(B230),MONTH(B230),1)</f>
        <v>46113</v>
      </c>
    </row>
    <row r="231" customFormat="false" ht="15" hidden="false" customHeight="false" outlineLevel="0" collapsed="false">
      <c r="A231" s="20" t="n">
        <v>230</v>
      </c>
      <c r="B231" s="21" t="n">
        <v>46115</v>
      </c>
      <c r="C231" s="20" t="s">
        <v>34</v>
      </c>
      <c r="D231" s="20" t="s">
        <v>31</v>
      </c>
      <c r="E231" s="20" t="s">
        <v>32</v>
      </c>
      <c r="F231" s="22" t="n">
        <v>30.55</v>
      </c>
      <c r="G231" s="20" t="s">
        <v>35</v>
      </c>
      <c r="H231" s="23" t="n">
        <f aca="false">DATE(YEAR(B231),MONTH(B231),1)</f>
        <v>46113</v>
      </c>
    </row>
    <row r="232" customFormat="false" ht="15" hidden="false" customHeight="false" outlineLevel="0" collapsed="false">
      <c r="A232" s="20" t="n">
        <v>231</v>
      </c>
      <c r="B232" s="21" t="n">
        <v>46115</v>
      </c>
      <c r="C232" s="20" t="s">
        <v>34</v>
      </c>
      <c r="D232" s="20" t="s">
        <v>31</v>
      </c>
      <c r="E232" s="20" t="s">
        <v>32</v>
      </c>
      <c r="F232" s="22" t="n">
        <v>15.6</v>
      </c>
      <c r="G232" s="20" t="s">
        <v>35</v>
      </c>
      <c r="H232" s="23" t="n">
        <f aca="false">DATE(YEAR(B232),MONTH(B232),1)</f>
        <v>46113</v>
      </c>
    </row>
    <row r="233" customFormat="false" ht="15" hidden="false" customHeight="false" outlineLevel="0" collapsed="false">
      <c r="A233" s="20" t="n">
        <v>232</v>
      </c>
      <c r="B233" s="21" t="n">
        <v>46115</v>
      </c>
      <c r="C233" s="20" t="s">
        <v>34</v>
      </c>
      <c r="D233" s="20" t="s">
        <v>31</v>
      </c>
      <c r="E233" s="20" t="s">
        <v>32</v>
      </c>
      <c r="F233" s="22" t="n">
        <v>22.79</v>
      </c>
      <c r="G233" s="20" t="s">
        <v>35</v>
      </c>
      <c r="H233" s="23" t="n">
        <f aca="false">DATE(YEAR(B233),MONTH(B233),1)</f>
        <v>46113</v>
      </c>
    </row>
    <row r="234" customFormat="false" ht="15" hidden="false" customHeight="false" outlineLevel="0" collapsed="false">
      <c r="A234" s="20" t="n">
        <v>233</v>
      </c>
      <c r="B234" s="21" t="n">
        <v>46117</v>
      </c>
      <c r="C234" s="20" t="s">
        <v>43</v>
      </c>
      <c r="D234" s="20" t="s">
        <v>43</v>
      </c>
      <c r="E234" s="20" t="s">
        <v>44</v>
      </c>
      <c r="F234" s="22" t="n">
        <v>5600</v>
      </c>
      <c r="G234" s="20" t="s">
        <v>33</v>
      </c>
      <c r="H234" s="23" t="n">
        <f aca="false">DATE(YEAR(B234),MONTH(B234),1)</f>
        <v>46113</v>
      </c>
    </row>
    <row r="235" customFormat="false" ht="15" hidden="false" customHeight="false" outlineLevel="0" collapsed="false">
      <c r="A235" s="20" t="n">
        <v>234</v>
      </c>
      <c r="B235" s="21" t="n">
        <v>46117</v>
      </c>
      <c r="C235" s="20" t="s">
        <v>34</v>
      </c>
      <c r="D235" s="20" t="s">
        <v>31</v>
      </c>
      <c r="E235" s="20" t="s">
        <v>32</v>
      </c>
      <c r="F235" s="22" t="n">
        <v>30.37</v>
      </c>
      <c r="G235" s="20" t="s">
        <v>35</v>
      </c>
      <c r="H235" s="23" t="n">
        <f aca="false">DATE(YEAR(B235),MONTH(B235),1)</f>
        <v>46113</v>
      </c>
    </row>
    <row r="236" customFormat="false" ht="15" hidden="false" customHeight="false" outlineLevel="0" collapsed="false">
      <c r="A236" s="20" t="n">
        <v>235</v>
      </c>
      <c r="B236" s="21" t="n">
        <v>46118</v>
      </c>
      <c r="C236" s="20" t="s">
        <v>45</v>
      </c>
      <c r="D236" s="20" t="s">
        <v>46</v>
      </c>
      <c r="E236" s="20" t="s">
        <v>32</v>
      </c>
      <c r="F236" s="22" t="n">
        <v>59.9</v>
      </c>
      <c r="G236" s="20" t="s">
        <v>35</v>
      </c>
      <c r="H236" s="23" t="n">
        <f aca="false">DATE(YEAR(B236),MONTH(B236),1)</f>
        <v>46113</v>
      </c>
    </row>
    <row r="237" customFormat="false" ht="15" hidden="false" customHeight="false" outlineLevel="0" collapsed="false">
      <c r="A237" s="20" t="n">
        <v>236</v>
      </c>
      <c r="B237" s="21" t="n">
        <v>46118</v>
      </c>
      <c r="C237" s="20" t="s">
        <v>42</v>
      </c>
      <c r="D237" s="20" t="s">
        <v>39</v>
      </c>
      <c r="E237" s="20" t="s">
        <v>32</v>
      </c>
      <c r="F237" s="22" t="n">
        <v>57.23</v>
      </c>
      <c r="G237" s="20" t="s">
        <v>35</v>
      </c>
      <c r="H237" s="23" t="n">
        <f aca="false">DATE(YEAR(B237),MONTH(B237),1)</f>
        <v>46113</v>
      </c>
    </row>
    <row r="238" customFormat="false" ht="15" hidden="false" customHeight="false" outlineLevel="0" collapsed="false">
      <c r="A238" s="20" t="n">
        <v>237</v>
      </c>
      <c r="B238" s="21" t="n">
        <v>46119</v>
      </c>
      <c r="C238" s="20" t="s">
        <v>38</v>
      </c>
      <c r="D238" s="20" t="s">
        <v>39</v>
      </c>
      <c r="E238" s="20" t="s">
        <v>32</v>
      </c>
      <c r="F238" s="22" t="n">
        <v>184.94</v>
      </c>
      <c r="G238" s="20" t="s">
        <v>35</v>
      </c>
      <c r="H238" s="23" t="n">
        <f aca="false">DATE(YEAR(B238),MONTH(B238),1)</f>
        <v>46113</v>
      </c>
    </row>
    <row r="239" customFormat="false" ht="15" hidden="false" customHeight="false" outlineLevel="0" collapsed="false">
      <c r="A239" s="20" t="n">
        <v>238</v>
      </c>
      <c r="B239" s="21" t="n">
        <v>46120</v>
      </c>
      <c r="C239" s="20" t="s">
        <v>50</v>
      </c>
      <c r="D239" s="20" t="s">
        <v>51</v>
      </c>
      <c r="E239" s="20" t="s">
        <v>32</v>
      </c>
      <c r="F239" s="22" t="n">
        <v>1350</v>
      </c>
      <c r="G239" s="20" t="s">
        <v>52</v>
      </c>
      <c r="H239" s="23" t="n">
        <f aca="false">DATE(YEAR(B239),MONTH(B239),1)</f>
        <v>46113</v>
      </c>
    </row>
    <row r="240" customFormat="false" ht="15" hidden="false" customHeight="false" outlineLevel="0" collapsed="false">
      <c r="A240" s="20" t="n">
        <v>239</v>
      </c>
      <c r="B240" s="21" t="n">
        <v>46120</v>
      </c>
      <c r="C240" s="20" t="s">
        <v>53</v>
      </c>
      <c r="D240" s="20" t="s">
        <v>51</v>
      </c>
      <c r="E240" s="20" t="s">
        <v>32</v>
      </c>
      <c r="F240" s="22" t="n">
        <v>250</v>
      </c>
      <c r="G240" s="20" t="s">
        <v>52</v>
      </c>
      <c r="H240" s="23" t="n">
        <f aca="false">DATE(YEAR(B240),MONTH(B240),1)</f>
        <v>46113</v>
      </c>
    </row>
    <row r="241" customFormat="false" ht="15" hidden="false" customHeight="false" outlineLevel="0" collapsed="false">
      <c r="A241" s="20" t="n">
        <v>240</v>
      </c>
      <c r="B241" s="21" t="n">
        <v>46120</v>
      </c>
      <c r="C241" s="20" t="s">
        <v>34</v>
      </c>
      <c r="D241" s="20" t="s">
        <v>31</v>
      </c>
      <c r="E241" s="20" t="s">
        <v>32</v>
      </c>
      <c r="F241" s="22" t="n">
        <v>19.06</v>
      </c>
      <c r="G241" s="20" t="s">
        <v>35</v>
      </c>
      <c r="H241" s="23" t="n">
        <f aca="false">DATE(YEAR(B241),MONTH(B241),1)</f>
        <v>46113</v>
      </c>
    </row>
    <row r="242" customFormat="false" ht="15" hidden="false" customHeight="false" outlineLevel="0" collapsed="false">
      <c r="A242" s="20" t="n">
        <v>241</v>
      </c>
      <c r="B242" s="21" t="n">
        <v>46120</v>
      </c>
      <c r="C242" s="20" t="s">
        <v>34</v>
      </c>
      <c r="D242" s="20" t="s">
        <v>31</v>
      </c>
      <c r="E242" s="20" t="s">
        <v>32</v>
      </c>
      <c r="F242" s="22" t="n">
        <v>21.96</v>
      </c>
      <c r="G242" s="20" t="s">
        <v>35</v>
      </c>
      <c r="H242" s="23" t="n">
        <f aca="false">DATE(YEAR(B242),MONTH(B242),1)</f>
        <v>46113</v>
      </c>
    </row>
    <row r="243" customFormat="false" ht="15" hidden="false" customHeight="false" outlineLevel="0" collapsed="false">
      <c r="A243" s="20" t="n">
        <v>242</v>
      </c>
      <c r="B243" s="21" t="n">
        <v>46122</v>
      </c>
      <c r="C243" s="20" t="s">
        <v>54</v>
      </c>
      <c r="D243" s="20" t="s">
        <v>51</v>
      </c>
      <c r="E243" s="20" t="s">
        <v>32</v>
      </c>
      <c r="F243" s="22" t="n">
        <v>99.9</v>
      </c>
      <c r="G243" s="20" t="s">
        <v>49</v>
      </c>
      <c r="H243" s="23" t="n">
        <f aca="false">DATE(YEAR(B243),MONTH(B243),1)</f>
        <v>46113</v>
      </c>
    </row>
    <row r="244" customFormat="false" ht="15" hidden="false" customHeight="false" outlineLevel="0" collapsed="false">
      <c r="A244" s="20" t="n">
        <v>243</v>
      </c>
      <c r="B244" s="21" t="n">
        <v>46123</v>
      </c>
      <c r="C244" s="20" t="s">
        <v>66</v>
      </c>
      <c r="D244" s="20" t="s">
        <v>67</v>
      </c>
      <c r="E244" s="20" t="s">
        <v>44</v>
      </c>
      <c r="F244" s="22" t="n">
        <v>595.87</v>
      </c>
      <c r="G244" s="20" t="s">
        <v>33</v>
      </c>
      <c r="H244" s="23" t="n">
        <f aca="false">DATE(YEAR(B244),MONTH(B244),1)</f>
        <v>46113</v>
      </c>
    </row>
    <row r="245" customFormat="false" ht="15" hidden="false" customHeight="false" outlineLevel="0" collapsed="false">
      <c r="A245" s="20" t="n">
        <v>244</v>
      </c>
      <c r="B245" s="21" t="n">
        <v>46123</v>
      </c>
      <c r="C245" s="20" t="s">
        <v>34</v>
      </c>
      <c r="D245" s="20" t="s">
        <v>31</v>
      </c>
      <c r="E245" s="20" t="s">
        <v>32</v>
      </c>
      <c r="F245" s="22" t="n">
        <v>35.22</v>
      </c>
      <c r="G245" s="20" t="s">
        <v>35</v>
      </c>
      <c r="H245" s="23" t="n">
        <f aca="false">DATE(YEAR(B245),MONTH(B245),1)</f>
        <v>46113</v>
      </c>
    </row>
    <row r="246" customFormat="false" ht="15" hidden="false" customHeight="false" outlineLevel="0" collapsed="false">
      <c r="A246" s="20" t="n">
        <v>245</v>
      </c>
      <c r="B246" s="21" t="n">
        <v>46124</v>
      </c>
      <c r="C246" s="20" t="s">
        <v>55</v>
      </c>
      <c r="D246" s="20" t="s">
        <v>56</v>
      </c>
      <c r="E246" s="20" t="s">
        <v>32</v>
      </c>
      <c r="F246" s="22" t="n">
        <v>39.9</v>
      </c>
      <c r="G246" s="20" t="s">
        <v>35</v>
      </c>
      <c r="H246" s="23" t="n">
        <f aca="false">DATE(YEAR(B246),MONTH(B246),1)</f>
        <v>46113</v>
      </c>
    </row>
    <row r="247" customFormat="false" ht="15" hidden="false" customHeight="false" outlineLevel="0" collapsed="false">
      <c r="A247" s="20" t="n">
        <v>246</v>
      </c>
      <c r="B247" s="21" t="n">
        <v>46125</v>
      </c>
      <c r="C247" s="20" t="s">
        <v>71</v>
      </c>
      <c r="D247" s="20" t="s">
        <v>48</v>
      </c>
      <c r="E247" s="20" t="s">
        <v>32</v>
      </c>
      <c r="F247" s="22" t="n">
        <v>40.77</v>
      </c>
      <c r="G247" s="20" t="s">
        <v>33</v>
      </c>
      <c r="H247" s="23" t="n">
        <f aca="false">DATE(YEAR(B247),MONTH(B247),1)</f>
        <v>46113</v>
      </c>
    </row>
    <row r="248" customFormat="false" ht="15" hidden="false" customHeight="false" outlineLevel="0" collapsed="false">
      <c r="A248" s="20" t="n">
        <v>247</v>
      </c>
      <c r="B248" s="21" t="n">
        <v>46126</v>
      </c>
      <c r="C248" s="20" t="s">
        <v>57</v>
      </c>
      <c r="D248" s="20" t="s">
        <v>56</v>
      </c>
      <c r="E248" s="20" t="s">
        <v>32</v>
      </c>
      <c r="F248" s="22" t="n">
        <v>21.9</v>
      </c>
      <c r="G248" s="20" t="s">
        <v>35</v>
      </c>
      <c r="H248" s="23" t="n">
        <f aca="false">DATE(YEAR(B248),MONTH(B248),1)</f>
        <v>46113</v>
      </c>
    </row>
    <row r="249" customFormat="false" ht="15" hidden="false" customHeight="false" outlineLevel="0" collapsed="false">
      <c r="A249" s="20" t="n">
        <v>248</v>
      </c>
      <c r="B249" s="21" t="n">
        <v>46126</v>
      </c>
      <c r="C249" s="20" t="s">
        <v>41</v>
      </c>
      <c r="D249" s="20" t="s">
        <v>39</v>
      </c>
      <c r="E249" s="20" t="s">
        <v>32</v>
      </c>
      <c r="F249" s="22" t="n">
        <v>92.63</v>
      </c>
      <c r="G249" s="20" t="s">
        <v>49</v>
      </c>
      <c r="H249" s="23" t="n">
        <f aca="false">DATE(YEAR(B249),MONTH(B249),1)</f>
        <v>46113</v>
      </c>
    </row>
    <row r="250" customFormat="false" ht="15" hidden="false" customHeight="false" outlineLevel="0" collapsed="false">
      <c r="A250" s="20" t="n">
        <v>249</v>
      </c>
      <c r="B250" s="21" t="n">
        <v>46126</v>
      </c>
      <c r="C250" s="20" t="s">
        <v>72</v>
      </c>
      <c r="D250" s="20" t="s">
        <v>60</v>
      </c>
      <c r="E250" s="20" t="s">
        <v>32</v>
      </c>
      <c r="F250" s="22" t="n">
        <v>20.23</v>
      </c>
      <c r="G250" s="20" t="s">
        <v>33</v>
      </c>
      <c r="H250" s="23" t="n">
        <f aca="false">DATE(YEAR(B250),MONTH(B250),1)</f>
        <v>46113</v>
      </c>
    </row>
    <row r="251" customFormat="false" ht="15" hidden="false" customHeight="false" outlineLevel="0" collapsed="false">
      <c r="A251" s="20" t="n">
        <v>250</v>
      </c>
      <c r="B251" s="21" t="n">
        <v>46127</v>
      </c>
      <c r="C251" s="20" t="s">
        <v>58</v>
      </c>
      <c r="D251" s="20" t="s">
        <v>51</v>
      </c>
      <c r="E251" s="20" t="s">
        <v>32</v>
      </c>
      <c r="F251" s="22" t="n">
        <v>152.98</v>
      </c>
      <c r="G251" s="20" t="s">
        <v>52</v>
      </c>
      <c r="H251" s="23" t="n">
        <f aca="false">DATE(YEAR(B251),MONTH(B251),1)</f>
        <v>46113</v>
      </c>
    </row>
    <row r="252" customFormat="false" ht="15" hidden="false" customHeight="false" outlineLevel="0" collapsed="false">
      <c r="A252" s="20" t="n">
        <v>251</v>
      </c>
      <c r="B252" s="21" t="n">
        <v>46127</v>
      </c>
      <c r="C252" s="20" t="s">
        <v>38</v>
      </c>
      <c r="D252" s="20" t="s">
        <v>39</v>
      </c>
      <c r="E252" s="20" t="s">
        <v>32</v>
      </c>
      <c r="F252" s="22" t="n">
        <v>78.03</v>
      </c>
      <c r="G252" s="20" t="s">
        <v>49</v>
      </c>
      <c r="H252" s="23" t="n">
        <f aca="false">DATE(YEAR(B252),MONTH(B252),1)</f>
        <v>46113</v>
      </c>
    </row>
    <row r="253" customFormat="false" ht="15" hidden="false" customHeight="false" outlineLevel="0" collapsed="false">
      <c r="A253" s="20" t="n">
        <v>252</v>
      </c>
      <c r="B253" s="21" t="n">
        <v>46128</v>
      </c>
      <c r="C253" s="20" t="s">
        <v>38</v>
      </c>
      <c r="D253" s="20" t="s">
        <v>39</v>
      </c>
      <c r="E253" s="20" t="s">
        <v>32</v>
      </c>
      <c r="F253" s="22" t="n">
        <v>133.94</v>
      </c>
      <c r="G253" s="20" t="s">
        <v>49</v>
      </c>
      <c r="H253" s="23" t="n">
        <f aca="false">DATE(YEAR(B253),MONTH(B253),1)</f>
        <v>46113</v>
      </c>
    </row>
    <row r="254" customFormat="false" ht="15" hidden="false" customHeight="false" outlineLevel="0" collapsed="false">
      <c r="A254" s="20" t="n">
        <v>253</v>
      </c>
      <c r="B254" s="21" t="n">
        <v>46128</v>
      </c>
      <c r="C254" s="20" t="s">
        <v>42</v>
      </c>
      <c r="D254" s="20" t="s">
        <v>39</v>
      </c>
      <c r="E254" s="20" t="s">
        <v>32</v>
      </c>
      <c r="F254" s="22" t="n">
        <v>44.9</v>
      </c>
      <c r="G254" s="20" t="s">
        <v>35</v>
      </c>
      <c r="H254" s="23" t="n">
        <f aca="false">DATE(YEAR(B254),MONTH(B254),1)</f>
        <v>46113</v>
      </c>
    </row>
    <row r="255" customFormat="false" ht="15" hidden="false" customHeight="false" outlineLevel="0" collapsed="false">
      <c r="A255" s="20" t="n">
        <v>254</v>
      </c>
      <c r="B255" s="21" t="n">
        <v>46130</v>
      </c>
      <c r="C255" s="20" t="s">
        <v>71</v>
      </c>
      <c r="D255" s="20" t="s">
        <v>48</v>
      </c>
      <c r="E255" s="20" t="s">
        <v>32</v>
      </c>
      <c r="F255" s="22" t="n">
        <v>94.05</v>
      </c>
      <c r="G255" s="20" t="s">
        <v>35</v>
      </c>
      <c r="H255" s="23" t="n">
        <f aca="false">DATE(YEAR(B255),MONTH(B255),1)</f>
        <v>46113</v>
      </c>
    </row>
    <row r="256" customFormat="false" ht="15" hidden="false" customHeight="false" outlineLevel="0" collapsed="false">
      <c r="A256" s="20" t="n">
        <v>255</v>
      </c>
      <c r="B256" s="21" t="n">
        <v>46130</v>
      </c>
      <c r="C256" s="20" t="s">
        <v>59</v>
      </c>
      <c r="D256" s="20" t="s">
        <v>60</v>
      </c>
      <c r="E256" s="20" t="s">
        <v>32</v>
      </c>
      <c r="F256" s="22" t="n">
        <v>55.59</v>
      </c>
      <c r="G256" s="20" t="s">
        <v>33</v>
      </c>
      <c r="H256" s="23" t="n">
        <f aca="false">DATE(YEAR(B256),MONTH(B256),1)</f>
        <v>46113</v>
      </c>
    </row>
    <row r="257" customFormat="false" ht="15" hidden="false" customHeight="false" outlineLevel="0" collapsed="false">
      <c r="A257" s="20" t="n">
        <v>256</v>
      </c>
      <c r="B257" s="21" t="n">
        <v>46132</v>
      </c>
      <c r="C257" s="20" t="s">
        <v>41</v>
      </c>
      <c r="D257" s="20" t="s">
        <v>39</v>
      </c>
      <c r="E257" s="20" t="s">
        <v>32</v>
      </c>
      <c r="F257" s="22" t="n">
        <v>55.16</v>
      </c>
      <c r="G257" s="20" t="s">
        <v>33</v>
      </c>
      <c r="H257" s="23" t="n">
        <f aca="false">DATE(YEAR(B257),MONTH(B257),1)</f>
        <v>46113</v>
      </c>
    </row>
    <row r="258" customFormat="false" ht="15" hidden="false" customHeight="false" outlineLevel="0" collapsed="false">
      <c r="A258" s="20" t="n">
        <v>257</v>
      </c>
      <c r="B258" s="21" t="n">
        <v>46132</v>
      </c>
      <c r="C258" s="20" t="s">
        <v>41</v>
      </c>
      <c r="D258" s="20" t="s">
        <v>39</v>
      </c>
      <c r="E258" s="20" t="s">
        <v>32</v>
      </c>
      <c r="F258" s="22" t="n">
        <v>91.5</v>
      </c>
      <c r="G258" s="20" t="s">
        <v>49</v>
      </c>
      <c r="H258" s="23" t="n">
        <f aca="false">DATE(YEAR(B258),MONTH(B258),1)</f>
        <v>46113</v>
      </c>
    </row>
    <row r="259" customFormat="false" ht="15" hidden="false" customHeight="false" outlineLevel="0" collapsed="false">
      <c r="A259" s="20" t="n">
        <v>258</v>
      </c>
      <c r="B259" s="21" t="n">
        <v>46133</v>
      </c>
      <c r="C259" s="20" t="s">
        <v>38</v>
      </c>
      <c r="D259" s="20" t="s">
        <v>39</v>
      </c>
      <c r="E259" s="20" t="s">
        <v>32</v>
      </c>
      <c r="F259" s="22" t="n">
        <v>180.02</v>
      </c>
      <c r="G259" s="20" t="s">
        <v>49</v>
      </c>
      <c r="H259" s="23" t="n">
        <f aca="false">DATE(YEAR(B259),MONTH(B259),1)</f>
        <v>46113</v>
      </c>
    </row>
    <row r="260" customFormat="false" ht="15" hidden="false" customHeight="false" outlineLevel="0" collapsed="false">
      <c r="A260" s="20" t="n">
        <v>259</v>
      </c>
      <c r="B260" s="21" t="n">
        <v>46133</v>
      </c>
      <c r="C260" s="20" t="s">
        <v>42</v>
      </c>
      <c r="D260" s="20" t="s">
        <v>39</v>
      </c>
      <c r="E260" s="20" t="s">
        <v>32</v>
      </c>
      <c r="F260" s="22" t="n">
        <v>37.65</v>
      </c>
      <c r="G260" s="20" t="s">
        <v>35</v>
      </c>
      <c r="H260" s="23" t="n">
        <f aca="false">DATE(YEAR(B260),MONTH(B260),1)</f>
        <v>46113</v>
      </c>
    </row>
    <row r="261" customFormat="false" ht="15" hidden="false" customHeight="false" outlineLevel="0" collapsed="false">
      <c r="A261" s="20" t="n">
        <v>260</v>
      </c>
      <c r="B261" s="21" t="n">
        <v>46133</v>
      </c>
      <c r="C261" s="20" t="s">
        <v>42</v>
      </c>
      <c r="D261" s="20" t="s">
        <v>39</v>
      </c>
      <c r="E261" s="20" t="s">
        <v>32</v>
      </c>
      <c r="F261" s="22" t="n">
        <v>36.05</v>
      </c>
      <c r="G261" s="20" t="s">
        <v>35</v>
      </c>
      <c r="H261" s="23" t="n">
        <f aca="false">DATE(YEAR(B261),MONTH(B261),1)</f>
        <v>46113</v>
      </c>
    </row>
    <row r="262" customFormat="false" ht="15" hidden="false" customHeight="false" outlineLevel="0" collapsed="false">
      <c r="A262" s="20" t="n">
        <v>261</v>
      </c>
      <c r="B262" s="21" t="n">
        <v>46134</v>
      </c>
      <c r="C262" s="20" t="s">
        <v>41</v>
      </c>
      <c r="D262" s="20" t="s">
        <v>39</v>
      </c>
      <c r="E262" s="20" t="s">
        <v>32</v>
      </c>
      <c r="F262" s="22" t="n">
        <v>70.77</v>
      </c>
      <c r="G262" s="20" t="s">
        <v>49</v>
      </c>
      <c r="H262" s="23" t="n">
        <f aca="false">DATE(YEAR(B262),MONTH(B262),1)</f>
        <v>46113</v>
      </c>
    </row>
    <row r="263" customFormat="false" ht="15" hidden="false" customHeight="false" outlineLevel="0" collapsed="false">
      <c r="A263" s="20" t="n">
        <v>262</v>
      </c>
      <c r="B263" s="21" t="n">
        <v>46135</v>
      </c>
      <c r="C263" s="20" t="s">
        <v>68</v>
      </c>
      <c r="D263" s="20" t="s">
        <v>48</v>
      </c>
      <c r="E263" s="20" t="s">
        <v>32</v>
      </c>
      <c r="F263" s="22" t="n">
        <v>151.38</v>
      </c>
      <c r="G263" s="20" t="s">
        <v>49</v>
      </c>
      <c r="H263" s="23" t="n">
        <f aca="false">DATE(YEAR(B263),MONTH(B263),1)</f>
        <v>46113</v>
      </c>
    </row>
    <row r="264" customFormat="false" ht="15" hidden="false" customHeight="false" outlineLevel="0" collapsed="false">
      <c r="A264" s="20" t="n">
        <v>263</v>
      </c>
      <c r="B264" s="21" t="n">
        <v>46137</v>
      </c>
      <c r="C264" s="20" t="s">
        <v>38</v>
      </c>
      <c r="D264" s="20" t="s">
        <v>39</v>
      </c>
      <c r="E264" s="20" t="s">
        <v>32</v>
      </c>
      <c r="F264" s="22" t="n">
        <v>138.02</v>
      </c>
      <c r="G264" s="20" t="s">
        <v>49</v>
      </c>
      <c r="H264" s="23" t="n">
        <f aca="false">DATE(YEAR(B264),MONTH(B264),1)</f>
        <v>46113</v>
      </c>
    </row>
    <row r="265" customFormat="false" ht="15" hidden="false" customHeight="false" outlineLevel="0" collapsed="false">
      <c r="A265" s="20" t="n">
        <v>264</v>
      </c>
      <c r="B265" s="21" t="n">
        <v>46137</v>
      </c>
      <c r="C265" s="20" t="s">
        <v>42</v>
      </c>
      <c r="D265" s="20" t="s">
        <v>39</v>
      </c>
      <c r="E265" s="20" t="s">
        <v>32</v>
      </c>
      <c r="F265" s="22" t="n">
        <v>36.38</v>
      </c>
      <c r="G265" s="20" t="s">
        <v>35</v>
      </c>
      <c r="H265" s="23" t="n">
        <f aca="false">DATE(YEAR(B265),MONTH(B265),1)</f>
        <v>46113</v>
      </c>
    </row>
    <row r="266" customFormat="false" ht="15" hidden="false" customHeight="false" outlineLevel="0" collapsed="false">
      <c r="A266" s="20" t="n">
        <v>265</v>
      </c>
      <c r="B266" s="21" t="n">
        <v>46137</v>
      </c>
      <c r="C266" s="20" t="s">
        <v>42</v>
      </c>
      <c r="D266" s="20" t="s">
        <v>39</v>
      </c>
      <c r="E266" s="20" t="s">
        <v>32</v>
      </c>
      <c r="F266" s="22" t="n">
        <v>47.89</v>
      </c>
      <c r="G266" s="20" t="s">
        <v>35</v>
      </c>
      <c r="H266" s="23" t="n">
        <f aca="false">DATE(YEAR(B266),MONTH(B266),1)</f>
        <v>46113</v>
      </c>
    </row>
    <row r="267" customFormat="false" ht="15" hidden="false" customHeight="false" outlineLevel="0" collapsed="false">
      <c r="A267" s="20" t="n">
        <v>266</v>
      </c>
      <c r="B267" s="21" t="n">
        <v>46137</v>
      </c>
      <c r="C267" s="20" t="s">
        <v>77</v>
      </c>
      <c r="D267" s="20" t="s">
        <v>62</v>
      </c>
      <c r="E267" s="20" t="s">
        <v>32</v>
      </c>
      <c r="F267" s="22" t="n">
        <v>283.36</v>
      </c>
      <c r="G267" s="20" t="s">
        <v>35</v>
      </c>
      <c r="H267" s="23" t="n">
        <f aca="false">DATE(YEAR(B267),MONTH(B267),1)</f>
        <v>46113</v>
      </c>
    </row>
    <row r="268" customFormat="false" ht="15" hidden="false" customHeight="false" outlineLevel="0" collapsed="false">
      <c r="A268" s="20" t="n">
        <v>267</v>
      </c>
      <c r="B268" s="21" t="n">
        <v>46138</v>
      </c>
      <c r="C268" s="20" t="s">
        <v>38</v>
      </c>
      <c r="D268" s="20" t="s">
        <v>39</v>
      </c>
      <c r="E268" s="20" t="s">
        <v>32</v>
      </c>
      <c r="F268" s="22" t="n">
        <v>223.27</v>
      </c>
      <c r="G268" s="20" t="s">
        <v>33</v>
      </c>
      <c r="H268" s="23" t="n">
        <f aca="false">DATE(YEAR(B268),MONTH(B268),1)</f>
        <v>46113</v>
      </c>
    </row>
    <row r="269" customFormat="false" ht="15" hidden="false" customHeight="false" outlineLevel="0" collapsed="false">
      <c r="A269" s="20" t="n">
        <v>268</v>
      </c>
      <c r="B269" s="21" t="n">
        <v>46139</v>
      </c>
      <c r="C269" s="20" t="s">
        <v>71</v>
      </c>
      <c r="D269" s="20" t="s">
        <v>48</v>
      </c>
      <c r="E269" s="20" t="s">
        <v>32</v>
      </c>
      <c r="F269" s="22" t="n">
        <v>90.63</v>
      </c>
      <c r="G269" s="20" t="s">
        <v>49</v>
      </c>
      <c r="H269" s="23" t="n">
        <f aca="false">DATE(YEAR(B269),MONTH(B269),1)</f>
        <v>46113</v>
      </c>
    </row>
    <row r="270" customFormat="false" ht="15" hidden="false" customHeight="false" outlineLevel="0" collapsed="false">
      <c r="A270" s="20" t="n">
        <v>269</v>
      </c>
      <c r="B270" s="21" t="n">
        <v>46140</v>
      </c>
      <c r="C270" s="20" t="s">
        <v>63</v>
      </c>
      <c r="D270" s="20" t="s">
        <v>64</v>
      </c>
      <c r="E270" s="20" t="s">
        <v>44</v>
      </c>
      <c r="F270" s="22" t="n">
        <v>32.25</v>
      </c>
      <c r="G270" s="20" t="s">
        <v>33</v>
      </c>
      <c r="H270" s="23" t="n">
        <f aca="false">DATE(YEAR(B270),MONTH(B270),1)</f>
        <v>46113</v>
      </c>
    </row>
    <row r="271" customFormat="false" ht="15" hidden="false" customHeight="false" outlineLevel="0" collapsed="false">
      <c r="A271" s="20" t="n">
        <v>270</v>
      </c>
      <c r="B271" s="21" t="n">
        <v>46140</v>
      </c>
      <c r="C271" s="20" t="s">
        <v>38</v>
      </c>
      <c r="D271" s="20" t="s">
        <v>39</v>
      </c>
      <c r="E271" s="20" t="s">
        <v>32</v>
      </c>
      <c r="F271" s="22" t="n">
        <v>89.42</v>
      </c>
      <c r="G271" s="20" t="s">
        <v>49</v>
      </c>
      <c r="H271" s="23" t="n">
        <f aca="false">DATE(YEAR(B271),MONTH(B271),1)</f>
        <v>46113</v>
      </c>
    </row>
    <row r="272" customFormat="false" ht="15" hidden="false" customHeight="false" outlineLevel="0" collapsed="false">
      <c r="A272" s="20" t="n">
        <v>271</v>
      </c>
      <c r="B272" s="21" t="n">
        <v>46143</v>
      </c>
      <c r="C272" s="20" t="s">
        <v>38</v>
      </c>
      <c r="D272" s="20" t="s">
        <v>39</v>
      </c>
      <c r="E272" s="20" t="s">
        <v>32</v>
      </c>
      <c r="F272" s="22" t="n">
        <v>83.43</v>
      </c>
      <c r="G272" s="20" t="s">
        <v>35</v>
      </c>
      <c r="H272" s="23" t="n">
        <f aca="false">DATE(YEAR(B272),MONTH(B272),1)</f>
        <v>46143</v>
      </c>
    </row>
    <row r="273" customFormat="false" ht="15" hidden="false" customHeight="false" outlineLevel="0" collapsed="false">
      <c r="A273" s="20" t="n">
        <v>272</v>
      </c>
      <c r="B273" s="21" t="n">
        <v>46143</v>
      </c>
      <c r="C273" s="20" t="s">
        <v>34</v>
      </c>
      <c r="D273" s="20" t="s">
        <v>31</v>
      </c>
      <c r="E273" s="20" t="s">
        <v>32</v>
      </c>
      <c r="F273" s="22" t="n">
        <v>36.15</v>
      </c>
      <c r="G273" s="20" t="s">
        <v>35</v>
      </c>
      <c r="H273" s="23" t="n">
        <f aca="false">DATE(YEAR(B273),MONTH(B273),1)</f>
        <v>46143</v>
      </c>
    </row>
    <row r="274" customFormat="false" ht="15" hidden="false" customHeight="false" outlineLevel="0" collapsed="false">
      <c r="A274" s="20" t="n">
        <v>273</v>
      </c>
      <c r="B274" s="21" t="n">
        <v>46143</v>
      </c>
      <c r="C274" s="20" t="s">
        <v>77</v>
      </c>
      <c r="D274" s="20" t="s">
        <v>62</v>
      </c>
      <c r="E274" s="20" t="s">
        <v>32</v>
      </c>
      <c r="F274" s="22" t="n">
        <v>275.58</v>
      </c>
      <c r="G274" s="20" t="s">
        <v>35</v>
      </c>
      <c r="H274" s="23" t="n">
        <f aca="false">DATE(YEAR(B274),MONTH(B274),1)</f>
        <v>46143</v>
      </c>
    </row>
    <row r="275" customFormat="false" ht="15" hidden="false" customHeight="false" outlineLevel="0" collapsed="false">
      <c r="A275" s="20" t="n">
        <v>274</v>
      </c>
      <c r="B275" s="21" t="n">
        <v>46144</v>
      </c>
      <c r="C275" s="20" t="s">
        <v>38</v>
      </c>
      <c r="D275" s="20" t="s">
        <v>39</v>
      </c>
      <c r="E275" s="20" t="s">
        <v>32</v>
      </c>
      <c r="F275" s="22" t="n">
        <v>111.63</v>
      </c>
      <c r="G275" s="20" t="s">
        <v>35</v>
      </c>
      <c r="H275" s="23" t="n">
        <f aca="false">DATE(YEAR(B275),MONTH(B275),1)</f>
        <v>46143</v>
      </c>
    </row>
    <row r="276" customFormat="false" ht="15" hidden="false" customHeight="false" outlineLevel="0" collapsed="false">
      <c r="A276" s="20" t="n">
        <v>275</v>
      </c>
      <c r="B276" s="21" t="n">
        <v>46144</v>
      </c>
      <c r="C276" s="20" t="s">
        <v>41</v>
      </c>
      <c r="D276" s="20" t="s">
        <v>39</v>
      </c>
      <c r="E276" s="20" t="s">
        <v>32</v>
      </c>
      <c r="F276" s="22" t="n">
        <v>87.06</v>
      </c>
      <c r="G276" s="20" t="s">
        <v>35</v>
      </c>
      <c r="H276" s="23" t="n">
        <f aca="false">DATE(YEAR(B276),MONTH(B276),1)</f>
        <v>46143</v>
      </c>
    </row>
    <row r="277" customFormat="false" ht="15" hidden="false" customHeight="false" outlineLevel="0" collapsed="false">
      <c r="A277" s="20" t="n">
        <v>276</v>
      </c>
      <c r="B277" s="21" t="n">
        <v>46144</v>
      </c>
      <c r="C277" s="20" t="s">
        <v>30</v>
      </c>
      <c r="D277" s="20" t="s">
        <v>31</v>
      </c>
      <c r="E277" s="20" t="s">
        <v>32</v>
      </c>
      <c r="F277" s="22" t="n">
        <v>150</v>
      </c>
      <c r="G277" s="20" t="s">
        <v>33</v>
      </c>
      <c r="H277" s="23" t="n">
        <f aca="false">DATE(YEAR(B277),MONTH(B277),1)</f>
        <v>46143</v>
      </c>
    </row>
    <row r="278" customFormat="false" ht="15" hidden="false" customHeight="false" outlineLevel="0" collapsed="false">
      <c r="A278" s="20" t="n">
        <v>277</v>
      </c>
      <c r="B278" s="21" t="n">
        <v>46145</v>
      </c>
      <c r="C278" s="20" t="s">
        <v>36</v>
      </c>
      <c r="D278" s="20" t="s">
        <v>37</v>
      </c>
      <c r="E278" s="20" t="s">
        <v>32</v>
      </c>
      <c r="F278" s="22" t="n">
        <v>109.9</v>
      </c>
      <c r="G278" s="20" t="s">
        <v>35</v>
      </c>
      <c r="H278" s="23" t="n">
        <f aca="false">DATE(YEAR(B278),MONTH(B278),1)</f>
        <v>46143</v>
      </c>
    </row>
    <row r="279" customFormat="false" ht="15" hidden="false" customHeight="false" outlineLevel="0" collapsed="false">
      <c r="A279" s="20" t="n">
        <v>278</v>
      </c>
      <c r="B279" s="21" t="n">
        <v>46147</v>
      </c>
      <c r="C279" s="20" t="s">
        <v>43</v>
      </c>
      <c r="D279" s="20" t="s">
        <v>43</v>
      </c>
      <c r="E279" s="20" t="s">
        <v>44</v>
      </c>
      <c r="F279" s="22" t="n">
        <v>5600</v>
      </c>
      <c r="G279" s="20" t="s">
        <v>33</v>
      </c>
      <c r="H279" s="23" t="n">
        <f aca="false">DATE(YEAR(B279),MONTH(B279),1)</f>
        <v>46143</v>
      </c>
    </row>
    <row r="280" customFormat="false" ht="15" hidden="false" customHeight="false" outlineLevel="0" collapsed="false">
      <c r="A280" s="20" t="n">
        <v>279</v>
      </c>
      <c r="B280" s="21" t="n">
        <v>46147</v>
      </c>
      <c r="C280" s="20" t="s">
        <v>76</v>
      </c>
      <c r="D280" s="20" t="s">
        <v>37</v>
      </c>
      <c r="E280" s="20" t="s">
        <v>32</v>
      </c>
      <c r="F280" s="22" t="n">
        <v>108.36</v>
      </c>
      <c r="G280" s="20" t="s">
        <v>49</v>
      </c>
      <c r="H280" s="23" t="n">
        <f aca="false">DATE(YEAR(B280),MONTH(B280),1)</f>
        <v>46143</v>
      </c>
    </row>
    <row r="281" customFormat="false" ht="15" hidden="false" customHeight="false" outlineLevel="0" collapsed="false">
      <c r="A281" s="20" t="n">
        <v>280</v>
      </c>
      <c r="B281" s="21" t="n">
        <v>46147</v>
      </c>
      <c r="C281" s="20" t="s">
        <v>38</v>
      </c>
      <c r="D281" s="20" t="s">
        <v>39</v>
      </c>
      <c r="E281" s="20" t="s">
        <v>32</v>
      </c>
      <c r="F281" s="22" t="n">
        <v>208.7</v>
      </c>
      <c r="G281" s="20" t="s">
        <v>49</v>
      </c>
      <c r="H281" s="23" t="n">
        <f aca="false">DATE(YEAR(B281),MONTH(B281),1)</f>
        <v>46143</v>
      </c>
    </row>
    <row r="282" customFormat="false" ht="15" hidden="false" customHeight="false" outlineLevel="0" collapsed="false">
      <c r="A282" s="20" t="n">
        <v>281</v>
      </c>
      <c r="B282" s="21" t="n">
        <v>46147</v>
      </c>
      <c r="C282" s="20" t="s">
        <v>42</v>
      </c>
      <c r="D282" s="20" t="s">
        <v>39</v>
      </c>
      <c r="E282" s="20" t="s">
        <v>32</v>
      </c>
      <c r="F282" s="22" t="n">
        <v>36.02</v>
      </c>
      <c r="G282" s="20" t="s">
        <v>35</v>
      </c>
      <c r="H282" s="23" t="n">
        <f aca="false">DATE(YEAR(B282),MONTH(B282),1)</f>
        <v>46143</v>
      </c>
    </row>
    <row r="283" customFormat="false" ht="15" hidden="false" customHeight="false" outlineLevel="0" collapsed="false">
      <c r="A283" s="20" t="n">
        <v>282</v>
      </c>
      <c r="B283" s="21" t="n">
        <v>46148</v>
      </c>
      <c r="C283" s="20" t="s">
        <v>45</v>
      </c>
      <c r="D283" s="20" t="s">
        <v>46</v>
      </c>
      <c r="E283" s="20" t="s">
        <v>32</v>
      </c>
      <c r="F283" s="22" t="n">
        <v>59.9</v>
      </c>
      <c r="G283" s="20" t="s">
        <v>35</v>
      </c>
      <c r="H283" s="23" t="n">
        <f aca="false">DATE(YEAR(B283),MONTH(B283),1)</f>
        <v>46143</v>
      </c>
    </row>
    <row r="284" customFormat="false" ht="15" hidden="false" customHeight="false" outlineLevel="0" collapsed="false">
      <c r="A284" s="20" t="n">
        <v>283</v>
      </c>
      <c r="B284" s="21" t="n">
        <v>46149</v>
      </c>
      <c r="C284" s="20" t="s">
        <v>38</v>
      </c>
      <c r="D284" s="20" t="s">
        <v>39</v>
      </c>
      <c r="E284" s="20" t="s">
        <v>32</v>
      </c>
      <c r="F284" s="22" t="n">
        <v>142.75</v>
      </c>
      <c r="G284" s="20" t="s">
        <v>35</v>
      </c>
      <c r="H284" s="23" t="n">
        <f aca="false">DATE(YEAR(B284),MONTH(B284),1)</f>
        <v>46143</v>
      </c>
    </row>
    <row r="285" customFormat="false" ht="15" hidden="false" customHeight="false" outlineLevel="0" collapsed="false">
      <c r="A285" s="20" t="n">
        <v>284</v>
      </c>
      <c r="B285" s="21" t="n">
        <v>46150</v>
      </c>
      <c r="C285" s="20" t="s">
        <v>50</v>
      </c>
      <c r="D285" s="20" t="s">
        <v>51</v>
      </c>
      <c r="E285" s="20" t="s">
        <v>32</v>
      </c>
      <c r="F285" s="22" t="n">
        <v>1350</v>
      </c>
      <c r="G285" s="20" t="s">
        <v>52</v>
      </c>
      <c r="H285" s="23" t="n">
        <f aca="false">DATE(YEAR(B285),MONTH(B285),1)</f>
        <v>46143</v>
      </c>
    </row>
    <row r="286" customFormat="false" ht="15" hidden="false" customHeight="false" outlineLevel="0" collapsed="false">
      <c r="A286" s="20" t="n">
        <v>285</v>
      </c>
      <c r="B286" s="21" t="n">
        <v>46150</v>
      </c>
      <c r="C286" s="20" t="s">
        <v>53</v>
      </c>
      <c r="D286" s="20" t="s">
        <v>51</v>
      </c>
      <c r="E286" s="20" t="s">
        <v>32</v>
      </c>
      <c r="F286" s="22" t="n">
        <v>250</v>
      </c>
      <c r="G286" s="20" t="s">
        <v>52</v>
      </c>
      <c r="H286" s="23" t="n">
        <f aca="false">DATE(YEAR(B286),MONTH(B286),1)</f>
        <v>46143</v>
      </c>
    </row>
    <row r="287" customFormat="false" ht="15" hidden="false" customHeight="false" outlineLevel="0" collapsed="false">
      <c r="A287" s="20" t="n">
        <v>286</v>
      </c>
      <c r="B287" s="21" t="n">
        <v>46150</v>
      </c>
      <c r="C287" s="20" t="s">
        <v>41</v>
      </c>
      <c r="D287" s="20" t="s">
        <v>39</v>
      </c>
      <c r="E287" s="20" t="s">
        <v>32</v>
      </c>
      <c r="F287" s="22" t="n">
        <v>79.46</v>
      </c>
      <c r="G287" s="20" t="s">
        <v>49</v>
      </c>
      <c r="H287" s="23" t="n">
        <f aca="false">DATE(YEAR(B287),MONTH(B287),1)</f>
        <v>46143</v>
      </c>
    </row>
    <row r="288" customFormat="false" ht="15" hidden="false" customHeight="false" outlineLevel="0" collapsed="false">
      <c r="A288" s="20" t="n">
        <v>287</v>
      </c>
      <c r="B288" s="21" t="n">
        <v>46151</v>
      </c>
      <c r="C288" s="20" t="s">
        <v>38</v>
      </c>
      <c r="D288" s="20" t="s">
        <v>39</v>
      </c>
      <c r="E288" s="20" t="s">
        <v>32</v>
      </c>
      <c r="F288" s="22" t="n">
        <v>203.59</v>
      </c>
      <c r="G288" s="20" t="s">
        <v>35</v>
      </c>
      <c r="H288" s="23" t="n">
        <f aca="false">DATE(YEAR(B288),MONTH(B288),1)</f>
        <v>46143</v>
      </c>
    </row>
    <row r="289" customFormat="false" ht="15" hidden="false" customHeight="false" outlineLevel="0" collapsed="false">
      <c r="A289" s="20" t="n">
        <v>288</v>
      </c>
      <c r="B289" s="21" t="n">
        <v>46152</v>
      </c>
      <c r="C289" s="20" t="s">
        <v>54</v>
      </c>
      <c r="D289" s="20" t="s">
        <v>51</v>
      </c>
      <c r="E289" s="20" t="s">
        <v>32</v>
      </c>
      <c r="F289" s="22" t="n">
        <v>99.9</v>
      </c>
      <c r="G289" s="20" t="s">
        <v>49</v>
      </c>
      <c r="H289" s="23" t="n">
        <f aca="false">DATE(YEAR(B289),MONTH(B289),1)</f>
        <v>46143</v>
      </c>
    </row>
    <row r="290" customFormat="false" ht="15" hidden="false" customHeight="false" outlineLevel="0" collapsed="false">
      <c r="A290" s="20" t="n">
        <v>289</v>
      </c>
      <c r="B290" s="21" t="n">
        <v>46152</v>
      </c>
      <c r="C290" s="20" t="s">
        <v>34</v>
      </c>
      <c r="D290" s="20" t="s">
        <v>31</v>
      </c>
      <c r="E290" s="20" t="s">
        <v>32</v>
      </c>
      <c r="F290" s="22" t="n">
        <v>14.81</v>
      </c>
      <c r="G290" s="20" t="s">
        <v>35</v>
      </c>
      <c r="H290" s="23" t="n">
        <f aca="false">DATE(YEAR(B290),MONTH(B290),1)</f>
        <v>46143</v>
      </c>
    </row>
    <row r="291" customFormat="false" ht="15" hidden="false" customHeight="false" outlineLevel="0" collapsed="false">
      <c r="A291" s="20" t="n">
        <v>290</v>
      </c>
      <c r="B291" s="21" t="n">
        <v>46154</v>
      </c>
      <c r="C291" s="20" t="s">
        <v>55</v>
      </c>
      <c r="D291" s="20" t="s">
        <v>56</v>
      </c>
      <c r="E291" s="20" t="s">
        <v>32</v>
      </c>
      <c r="F291" s="22" t="n">
        <v>39.9</v>
      </c>
      <c r="G291" s="20" t="s">
        <v>35</v>
      </c>
      <c r="H291" s="23" t="n">
        <f aca="false">DATE(YEAR(B291),MONTH(B291),1)</f>
        <v>46143</v>
      </c>
    </row>
    <row r="292" customFormat="false" ht="15" hidden="false" customHeight="false" outlineLevel="0" collapsed="false">
      <c r="A292" s="20" t="n">
        <v>291</v>
      </c>
      <c r="B292" s="21" t="n">
        <v>46154</v>
      </c>
      <c r="C292" s="20" t="s">
        <v>34</v>
      </c>
      <c r="D292" s="20" t="s">
        <v>31</v>
      </c>
      <c r="E292" s="20" t="s">
        <v>32</v>
      </c>
      <c r="F292" s="22" t="n">
        <v>16.36</v>
      </c>
      <c r="G292" s="20" t="s">
        <v>35</v>
      </c>
      <c r="H292" s="23" t="n">
        <f aca="false">DATE(YEAR(B292),MONTH(B292),1)</f>
        <v>46143</v>
      </c>
    </row>
    <row r="293" customFormat="false" ht="15" hidden="false" customHeight="false" outlineLevel="0" collapsed="false">
      <c r="A293" s="20" t="n">
        <v>292</v>
      </c>
      <c r="B293" s="21" t="n">
        <v>46155</v>
      </c>
      <c r="C293" s="20" t="s">
        <v>70</v>
      </c>
      <c r="D293" s="20" t="s">
        <v>48</v>
      </c>
      <c r="E293" s="20" t="s">
        <v>32</v>
      </c>
      <c r="F293" s="22" t="n">
        <v>49.88</v>
      </c>
      <c r="G293" s="20" t="s">
        <v>49</v>
      </c>
      <c r="H293" s="23" t="n">
        <f aca="false">DATE(YEAR(B293),MONTH(B293),1)</f>
        <v>46143</v>
      </c>
    </row>
    <row r="294" customFormat="false" ht="15" hidden="false" customHeight="false" outlineLevel="0" collapsed="false">
      <c r="A294" s="20" t="n">
        <v>293</v>
      </c>
      <c r="B294" s="21" t="n">
        <v>46156</v>
      </c>
      <c r="C294" s="20" t="s">
        <v>57</v>
      </c>
      <c r="D294" s="20" t="s">
        <v>56</v>
      </c>
      <c r="E294" s="20" t="s">
        <v>32</v>
      </c>
      <c r="F294" s="22" t="n">
        <v>21.9</v>
      </c>
      <c r="G294" s="20" t="s">
        <v>35</v>
      </c>
      <c r="H294" s="23" t="n">
        <f aca="false">DATE(YEAR(B294),MONTH(B294),1)</f>
        <v>46143</v>
      </c>
    </row>
    <row r="295" customFormat="false" ht="15" hidden="false" customHeight="false" outlineLevel="0" collapsed="false">
      <c r="A295" s="20" t="n">
        <v>294</v>
      </c>
      <c r="B295" s="21" t="n">
        <v>46156</v>
      </c>
      <c r="C295" s="20" t="s">
        <v>75</v>
      </c>
      <c r="D295" s="20" t="s">
        <v>60</v>
      </c>
      <c r="E295" s="20" t="s">
        <v>32</v>
      </c>
      <c r="F295" s="22" t="n">
        <v>66.94</v>
      </c>
      <c r="G295" s="20" t="s">
        <v>33</v>
      </c>
      <c r="H295" s="23" t="n">
        <f aca="false">DATE(YEAR(B295),MONTH(B295),1)</f>
        <v>46143</v>
      </c>
    </row>
    <row r="296" customFormat="false" ht="15" hidden="false" customHeight="false" outlineLevel="0" collapsed="false">
      <c r="A296" s="20" t="n">
        <v>295</v>
      </c>
      <c r="B296" s="21" t="n">
        <v>46157</v>
      </c>
      <c r="C296" s="20" t="s">
        <v>58</v>
      </c>
      <c r="D296" s="20" t="s">
        <v>51</v>
      </c>
      <c r="E296" s="20" t="s">
        <v>32</v>
      </c>
      <c r="F296" s="22" t="n">
        <v>142.93</v>
      </c>
      <c r="G296" s="20" t="s">
        <v>52</v>
      </c>
      <c r="H296" s="23" t="n">
        <f aca="false">DATE(YEAR(B296),MONTH(B296),1)</f>
        <v>46143</v>
      </c>
    </row>
    <row r="297" customFormat="false" ht="15" hidden="false" customHeight="false" outlineLevel="0" collapsed="false">
      <c r="A297" s="20" t="n">
        <v>296</v>
      </c>
      <c r="B297" s="21" t="n">
        <v>46158</v>
      </c>
      <c r="C297" s="20" t="s">
        <v>42</v>
      </c>
      <c r="D297" s="20" t="s">
        <v>39</v>
      </c>
      <c r="E297" s="20" t="s">
        <v>32</v>
      </c>
      <c r="F297" s="22" t="n">
        <v>54.12</v>
      </c>
      <c r="G297" s="20" t="s">
        <v>35</v>
      </c>
      <c r="H297" s="23" t="n">
        <f aca="false">DATE(YEAR(B297),MONTH(B297),1)</f>
        <v>46143</v>
      </c>
    </row>
    <row r="298" customFormat="false" ht="15" hidden="false" customHeight="false" outlineLevel="0" collapsed="false">
      <c r="A298" s="20" t="n">
        <v>297</v>
      </c>
      <c r="B298" s="21" t="n">
        <v>46161</v>
      </c>
      <c r="C298" s="20" t="s">
        <v>42</v>
      </c>
      <c r="D298" s="20" t="s">
        <v>39</v>
      </c>
      <c r="E298" s="20" t="s">
        <v>32</v>
      </c>
      <c r="F298" s="22" t="n">
        <v>65.81</v>
      </c>
      <c r="G298" s="20" t="s">
        <v>35</v>
      </c>
      <c r="H298" s="23" t="n">
        <f aca="false">DATE(YEAR(B298),MONTH(B298),1)</f>
        <v>46143</v>
      </c>
    </row>
    <row r="299" customFormat="false" ht="15" hidden="false" customHeight="false" outlineLevel="0" collapsed="false">
      <c r="A299" s="20" t="n">
        <v>298</v>
      </c>
      <c r="B299" s="21" t="n">
        <v>46162</v>
      </c>
      <c r="C299" s="20" t="s">
        <v>34</v>
      </c>
      <c r="D299" s="20" t="s">
        <v>31</v>
      </c>
      <c r="E299" s="20" t="s">
        <v>32</v>
      </c>
      <c r="F299" s="22" t="n">
        <v>37.06</v>
      </c>
      <c r="G299" s="20" t="s">
        <v>35</v>
      </c>
      <c r="H299" s="23" t="n">
        <f aca="false">DATE(YEAR(B299),MONTH(B299),1)</f>
        <v>46143</v>
      </c>
    </row>
    <row r="300" customFormat="false" ht="15" hidden="false" customHeight="false" outlineLevel="0" collapsed="false">
      <c r="A300" s="20" t="n">
        <v>299</v>
      </c>
      <c r="B300" s="21" t="n">
        <v>46164</v>
      </c>
      <c r="C300" s="20" t="s">
        <v>47</v>
      </c>
      <c r="D300" s="20" t="s">
        <v>48</v>
      </c>
      <c r="E300" s="20" t="s">
        <v>32</v>
      </c>
      <c r="F300" s="22" t="n">
        <v>48.96</v>
      </c>
      <c r="G300" s="20" t="s">
        <v>49</v>
      </c>
      <c r="H300" s="23" t="n">
        <f aca="false">DATE(YEAR(B300),MONTH(B300),1)</f>
        <v>46143</v>
      </c>
    </row>
    <row r="301" customFormat="false" ht="15" hidden="false" customHeight="false" outlineLevel="0" collapsed="false">
      <c r="A301" s="20" t="n">
        <v>300</v>
      </c>
      <c r="B301" s="21" t="n">
        <v>46165</v>
      </c>
      <c r="C301" s="20" t="s">
        <v>34</v>
      </c>
      <c r="D301" s="20" t="s">
        <v>31</v>
      </c>
      <c r="E301" s="20" t="s">
        <v>32</v>
      </c>
      <c r="F301" s="22" t="n">
        <v>18.66</v>
      </c>
      <c r="G301" s="20" t="s">
        <v>35</v>
      </c>
      <c r="H301" s="23" t="n">
        <f aca="false">DATE(YEAR(B301),MONTH(B301),1)</f>
        <v>46143</v>
      </c>
    </row>
    <row r="302" customFormat="false" ht="15" hidden="false" customHeight="false" outlineLevel="0" collapsed="false">
      <c r="A302" s="20" t="n">
        <v>301</v>
      </c>
      <c r="B302" s="21" t="n">
        <v>46165</v>
      </c>
      <c r="C302" s="20" t="s">
        <v>34</v>
      </c>
      <c r="D302" s="20" t="s">
        <v>31</v>
      </c>
      <c r="E302" s="20" t="s">
        <v>32</v>
      </c>
      <c r="F302" s="22" t="n">
        <v>14.98</v>
      </c>
      <c r="G302" s="20" t="s">
        <v>35</v>
      </c>
      <c r="H302" s="23" t="n">
        <f aca="false">DATE(YEAR(B302),MONTH(B302),1)</f>
        <v>46143</v>
      </c>
    </row>
    <row r="303" customFormat="false" ht="15" hidden="false" customHeight="false" outlineLevel="0" collapsed="false">
      <c r="A303" s="20" t="n">
        <v>302</v>
      </c>
      <c r="B303" s="21" t="n">
        <v>46166</v>
      </c>
      <c r="C303" s="20" t="s">
        <v>41</v>
      </c>
      <c r="D303" s="20" t="s">
        <v>39</v>
      </c>
      <c r="E303" s="20" t="s">
        <v>32</v>
      </c>
      <c r="F303" s="22" t="n">
        <v>71.38</v>
      </c>
      <c r="G303" s="20" t="s">
        <v>33</v>
      </c>
      <c r="H303" s="23" t="n">
        <f aca="false">DATE(YEAR(B303),MONTH(B303),1)</f>
        <v>46143</v>
      </c>
    </row>
    <row r="304" customFormat="false" ht="15" hidden="false" customHeight="false" outlineLevel="0" collapsed="false">
      <c r="A304" s="20" t="n">
        <v>303</v>
      </c>
      <c r="B304" s="21" t="n">
        <v>46167</v>
      </c>
      <c r="C304" s="20" t="s">
        <v>38</v>
      </c>
      <c r="D304" s="20" t="s">
        <v>39</v>
      </c>
      <c r="E304" s="20" t="s">
        <v>32</v>
      </c>
      <c r="F304" s="22" t="n">
        <v>210.74</v>
      </c>
      <c r="G304" s="20" t="s">
        <v>35</v>
      </c>
      <c r="H304" s="23" t="n">
        <f aca="false">DATE(YEAR(B304),MONTH(B304),1)</f>
        <v>46143</v>
      </c>
    </row>
    <row r="305" customFormat="false" ht="15" hidden="false" customHeight="false" outlineLevel="0" collapsed="false">
      <c r="A305" s="20" t="n">
        <v>304</v>
      </c>
      <c r="B305" s="21" t="n">
        <v>46167</v>
      </c>
      <c r="C305" s="20" t="s">
        <v>38</v>
      </c>
      <c r="D305" s="20" t="s">
        <v>39</v>
      </c>
      <c r="E305" s="20" t="s">
        <v>32</v>
      </c>
      <c r="F305" s="22" t="n">
        <v>222.19</v>
      </c>
      <c r="G305" s="20" t="s">
        <v>35</v>
      </c>
      <c r="H305" s="23" t="n">
        <f aca="false">DATE(YEAR(B305),MONTH(B305),1)</f>
        <v>46143</v>
      </c>
    </row>
    <row r="306" customFormat="false" ht="15" hidden="false" customHeight="false" outlineLevel="0" collapsed="false">
      <c r="A306" s="20" t="n">
        <v>305</v>
      </c>
      <c r="B306" s="21" t="n">
        <v>46168</v>
      </c>
      <c r="C306" s="20" t="s">
        <v>68</v>
      </c>
      <c r="D306" s="20" t="s">
        <v>48</v>
      </c>
      <c r="E306" s="20" t="s">
        <v>32</v>
      </c>
      <c r="F306" s="22" t="n">
        <v>85.14</v>
      </c>
      <c r="G306" s="20" t="s">
        <v>33</v>
      </c>
      <c r="H306" s="23" t="n">
        <f aca="false">DATE(YEAR(B306),MONTH(B306),1)</f>
        <v>46143</v>
      </c>
    </row>
    <row r="307" customFormat="false" ht="15" hidden="false" customHeight="false" outlineLevel="0" collapsed="false">
      <c r="A307" s="20" t="n">
        <v>306</v>
      </c>
      <c r="B307" s="21" t="n">
        <v>46169</v>
      </c>
      <c r="C307" s="20" t="s">
        <v>42</v>
      </c>
      <c r="D307" s="20" t="s">
        <v>39</v>
      </c>
      <c r="E307" s="20" t="s">
        <v>32</v>
      </c>
      <c r="F307" s="22" t="n">
        <v>26.86</v>
      </c>
      <c r="G307" s="20" t="s">
        <v>35</v>
      </c>
      <c r="H307" s="23" t="n">
        <f aca="false">DATE(YEAR(B307),MONTH(B307),1)</f>
        <v>46143</v>
      </c>
    </row>
    <row r="308" customFormat="false" ht="15" hidden="false" customHeight="false" outlineLevel="0" collapsed="false">
      <c r="A308" s="20" t="n">
        <v>307</v>
      </c>
      <c r="B308" s="21" t="n">
        <v>46169</v>
      </c>
      <c r="C308" s="20" t="s">
        <v>34</v>
      </c>
      <c r="D308" s="20" t="s">
        <v>31</v>
      </c>
      <c r="E308" s="20" t="s">
        <v>32</v>
      </c>
      <c r="F308" s="22" t="n">
        <v>16.26</v>
      </c>
      <c r="G308" s="20" t="s">
        <v>35</v>
      </c>
      <c r="H308" s="23" t="n">
        <f aca="false">DATE(YEAR(B308),MONTH(B308),1)</f>
        <v>46143</v>
      </c>
    </row>
    <row r="309" customFormat="false" ht="15" hidden="false" customHeight="false" outlineLevel="0" collapsed="false">
      <c r="A309" s="20" t="n">
        <v>308</v>
      </c>
      <c r="B309" s="21" t="n">
        <v>46169</v>
      </c>
      <c r="C309" s="20" t="s">
        <v>70</v>
      </c>
      <c r="D309" s="20" t="s">
        <v>48</v>
      </c>
      <c r="E309" s="20" t="s">
        <v>32</v>
      </c>
      <c r="F309" s="22" t="n">
        <v>53.25</v>
      </c>
      <c r="G309" s="20" t="s">
        <v>33</v>
      </c>
      <c r="H309" s="23" t="n">
        <f aca="false">DATE(YEAR(B309),MONTH(B309),1)</f>
        <v>46143</v>
      </c>
    </row>
    <row r="310" customFormat="false" ht="15" hidden="false" customHeight="false" outlineLevel="0" collapsed="false">
      <c r="A310" s="20" t="n">
        <v>309</v>
      </c>
      <c r="B310" s="21" t="n">
        <v>46170</v>
      </c>
      <c r="C310" s="20" t="s">
        <v>63</v>
      </c>
      <c r="D310" s="20" t="s">
        <v>64</v>
      </c>
      <c r="E310" s="20" t="s">
        <v>44</v>
      </c>
      <c r="F310" s="22" t="n">
        <v>41.94</v>
      </c>
      <c r="G310" s="20" t="s">
        <v>33</v>
      </c>
      <c r="H310" s="23" t="n">
        <f aca="false">DATE(YEAR(B310),MONTH(B310),1)</f>
        <v>46143</v>
      </c>
    </row>
    <row r="311" customFormat="false" ht="15" hidden="false" customHeight="false" outlineLevel="0" collapsed="false">
      <c r="A311" s="20" t="n">
        <v>310</v>
      </c>
      <c r="B311" s="21" t="n">
        <v>46170</v>
      </c>
      <c r="C311" s="20" t="s">
        <v>68</v>
      </c>
      <c r="D311" s="20" t="s">
        <v>48</v>
      </c>
      <c r="E311" s="20" t="s">
        <v>32</v>
      </c>
      <c r="F311" s="22" t="n">
        <v>143.51</v>
      </c>
      <c r="G311" s="20" t="s">
        <v>49</v>
      </c>
      <c r="H311" s="23" t="n">
        <f aca="false">DATE(YEAR(B311),MONTH(B311),1)</f>
        <v>46143</v>
      </c>
    </row>
    <row r="312" customFormat="false" ht="15" hidden="false" customHeight="false" outlineLevel="0" collapsed="false">
      <c r="A312" s="20" t="n">
        <v>311</v>
      </c>
      <c r="B312" s="21" t="n">
        <v>46175</v>
      </c>
      <c r="C312" s="20" t="s">
        <v>30</v>
      </c>
      <c r="D312" s="20" t="s">
        <v>31</v>
      </c>
      <c r="E312" s="20" t="s">
        <v>32</v>
      </c>
      <c r="F312" s="22" t="n">
        <v>150</v>
      </c>
      <c r="G312" s="20" t="s">
        <v>33</v>
      </c>
      <c r="H312" s="23" t="n">
        <f aca="false">DATE(YEAR(B312),MONTH(B312),1)</f>
        <v>46174</v>
      </c>
    </row>
    <row r="313" customFormat="false" ht="15" hidden="false" customHeight="false" outlineLevel="0" collapsed="false">
      <c r="A313" s="20" t="n">
        <v>312</v>
      </c>
      <c r="B313" s="21" t="n">
        <v>46176</v>
      </c>
      <c r="C313" s="20" t="s">
        <v>36</v>
      </c>
      <c r="D313" s="20" t="s">
        <v>37</v>
      </c>
      <c r="E313" s="20" t="s">
        <v>32</v>
      </c>
      <c r="F313" s="22" t="n">
        <v>109.9</v>
      </c>
      <c r="G313" s="20" t="s">
        <v>35</v>
      </c>
      <c r="H313" s="23" t="n">
        <f aca="false">DATE(YEAR(B313),MONTH(B313),1)</f>
        <v>46174</v>
      </c>
    </row>
    <row r="314" customFormat="false" ht="15" hidden="false" customHeight="false" outlineLevel="0" collapsed="false">
      <c r="A314" s="20" t="n">
        <v>313</v>
      </c>
      <c r="B314" s="21" t="n">
        <v>46176</v>
      </c>
      <c r="C314" s="20" t="s">
        <v>42</v>
      </c>
      <c r="D314" s="20" t="s">
        <v>39</v>
      </c>
      <c r="E314" s="20" t="s">
        <v>32</v>
      </c>
      <c r="F314" s="22" t="n">
        <v>38.36</v>
      </c>
      <c r="G314" s="20" t="s">
        <v>35</v>
      </c>
      <c r="H314" s="23" t="n">
        <f aca="false">DATE(YEAR(B314),MONTH(B314),1)</f>
        <v>46174</v>
      </c>
    </row>
    <row r="315" customFormat="false" ht="15" hidden="false" customHeight="false" outlineLevel="0" collapsed="false">
      <c r="A315" s="20" t="n">
        <v>314</v>
      </c>
      <c r="B315" s="21" t="n">
        <v>46178</v>
      </c>
      <c r="C315" s="20" t="s">
        <v>43</v>
      </c>
      <c r="D315" s="20" t="s">
        <v>43</v>
      </c>
      <c r="E315" s="20" t="s">
        <v>44</v>
      </c>
      <c r="F315" s="22" t="n">
        <v>5600</v>
      </c>
      <c r="G315" s="20" t="s">
        <v>33</v>
      </c>
      <c r="H315" s="23" t="n">
        <f aca="false">DATE(YEAR(B315),MONTH(B315),1)</f>
        <v>46174</v>
      </c>
    </row>
    <row r="316" customFormat="false" ht="15" hidden="false" customHeight="false" outlineLevel="0" collapsed="false">
      <c r="A316" s="20" t="n">
        <v>315</v>
      </c>
      <c r="B316" s="21" t="n">
        <v>46179</v>
      </c>
      <c r="C316" s="20" t="s">
        <v>45</v>
      </c>
      <c r="D316" s="20" t="s">
        <v>46</v>
      </c>
      <c r="E316" s="20" t="s">
        <v>32</v>
      </c>
      <c r="F316" s="22" t="n">
        <v>59.9</v>
      </c>
      <c r="G316" s="20" t="s">
        <v>35</v>
      </c>
      <c r="H316" s="23" t="n">
        <f aca="false">DATE(YEAR(B316),MONTH(B316),1)</f>
        <v>46174</v>
      </c>
    </row>
    <row r="317" customFormat="false" ht="15" hidden="false" customHeight="false" outlineLevel="0" collapsed="false">
      <c r="A317" s="20" t="n">
        <v>316</v>
      </c>
      <c r="B317" s="21" t="n">
        <v>46180</v>
      </c>
      <c r="C317" s="20" t="s">
        <v>41</v>
      </c>
      <c r="D317" s="20" t="s">
        <v>39</v>
      </c>
      <c r="E317" s="20" t="s">
        <v>32</v>
      </c>
      <c r="F317" s="22" t="n">
        <v>38.25</v>
      </c>
      <c r="G317" s="20" t="s">
        <v>49</v>
      </c>
      <c r="H317" s="23" t="n">
        <f aca="false">DATE(YEAR(B317),MONTH(B317),1)</f>
        <v>46174</v>
      </c>
    </row>
    <row r="318" customFormat="false" ht="15" hidden="false" customHeight="false" outlineLevel="0" collapsed="false">
      <c r="A318" s="20" t="n">
        <v>317</v>
      </c>
      <c r="B318" s="21" t="n">
        <v>46180</v>
      </c>
      <c r="C318" s="20" t="s">
        <v>34</v>
      </c>
      <c r="D318" s="20" t="s">
        <v>31</v>
      </c>
      <c r="E318" s="20" t="s">
        <v>32</v>
      </c>
      <c r="F318" s="22" t="n">
        <v>20.2</v>
      </c>
      <c r="G318" s="20" t="s">
        <v>35</v>
      </c>
      <c r="H318" s="23" t="n">
        <f aca="false">DATE(YEAR(B318),MONTH(B318),1)</f>
        <v>46174</v>
      </c>
    </row>
    <row r="319" customFormat="false" ht="15" hidden="false" customHeight="false" outlineLevel="0" collapsed="false">
      <c r="A319" s="20" t="n">
        <v>318</v>
      </c>
      <c r="B319" s="21" t="n">
        <v>46180</v>
      </c>
      <c r="C319" s="20" t="s">
        <v>71</v>
      </c>
      <c r="D319" s="20" t="s">
        <v>48</v>
      </c>
      <c r="E319" s="20" t="s">
        <v>32</v>
      </c>
      <c r="F319" s="22" t="n">
        <v>75.94</v>
      </c>
      <c r="G319" s="20" t="s">
        <v>49</v>
      </c>
      <c r="H319" s="23" t="n">
        <f aca="false">DATE(YEAR(B319),MONTH(B319),1)</f>
        <v>46174</v>
      </c>
    </row>
    <row r="320" customFormat="false" ht="15" hidden="false" customHeight="false" outlineLevel="0" collapsed="false">
      <c r="A320" s="20" t="n">
        <v>319</v>
      </c>
      <c r="B320" s="21" t="n">
        <v>46181</v>
      </c>
      <c r="C320" s="20" t="s">
        <v>50</v>
      </c>
      <c r="D320" s="20" t="s">
        <v>51</v>
      </c>
      <c r="E320" s="20" t="s">
        <v>32</v>
      </c>
      <c r="F320" s="22" t="n">
        <v>1350</v>
      </c>
      <c r="G320" s="20" t="s">
        <v>52</v>
      </c>
      <c r="H320" s="23" t="n">
        <f aca="false">DATE(YEAR(B320),MONTH(B320),1)</f>
        <v>46174</v>
      </c>
    </row>
    <row r="321" customFormat="false" ht="15" hidden="false" customHeight="false" outlineLevel="0" collapsed="false">
      <c r="A321" s="20" t="n">
        <v>320</v>
      </c>
      <c r="B321" s="21" t="n">
        <v>46181</v>
      </c>
      <c r="C321" s="20" t="s">
        <v>53</v>
      </c>
      <c r="D321" s="20" t="s">
        <v>51</v>
      </c>
      <c r="E321" s="20" t="s">
        <v>32</v>
      </c>
      <c r="F321" s="22" t="n">
        <v>250</v>
      </c>
      <c r="G321" s="20" t="s">
        <v>52</v>
      </c>
      <c r="H321" s="23" t="n">
        <f aca="false">DATE(YEAR(B321),MONTH(B321),1)</f>
        <v>46174</v>
      </c>
    </row>
    <row r="322" customFormat="false" ht="15" hidden="false" customHeight="false" outlineLevel="0" collapsed="false">
      <c r="A322" s="20" t="n">
        <v>321</v>
      </c>
      <c r="B322" s="21" t="n">
        <v>46181</v>
      </c>
      <c r="C322" s="20" t="s">
        <v>34</v>
      </c>
      <c r="D322" s="20" t="s">
        <v>31</v>
      </c>
      <c r="E322" s="20" t="s">
        <v>32</v>
      </c>
      <c r="F322" s="22" t="n">
        <v>15.14</v>
      </c>
      <c r="G322" s="20" t="s">
        <v>35</v>
      </c>
      <c r="H322" s="23" t="n">
        <f aca="false">DATE(YEAR(B322),MONTH(B322),1)</f>
        <v>46174</v>
      </c>
    </row>
    <row r="323" customFormat="false" ht="15" hidden="false" customHeight="false" outlineLevel="0" collapsed="false">
      <c r="A323" s="20" t="n">
        <v>322</v>
      </c>
      <c r="B323" s="21" t="n">
        <v>46182</v>
      </c>
      <c r="C323" s="20" t="s">
        <v>76</v>
      </c>
      <c r="D323" s="20" t="s">
        <v>37</v>
      </c>
      <c r="E323" s="20" t="s">
        <v>32</v>
      </c>
      <c r="F323" s="22" t="n">
        <v>77.35</v>
      </c>
      <c r="G323" s="20" t="s">
        <v>33</v>
      </c>
      <c r="H323" s="23" t="n">
        <f aca="false">DATE(YEAR(B323),MONTH(B323),1)</f>
        <v>46174</v>
      </c>
    </row>
    <row r="324" customFormat="false" ht="15" hidden="false" customHeight="false" outlineLevel="0" collapsed="false">
      <c r="A324" s="20" t="n">
        <v>323</v>
      </c>
      <c r="B324" s="21" t="n">
        <v>46182</v>
      </c>
      <c r="C324" s="20" t="s">
        <v>38</v>
      </c>
      <c r="D324" s="20" t="s">
        <v>39</v>
      </c>
      <c r="E324" s="20" t="s">
        <v>32</v>
      </c>
      <c r="F324" s="22" t="n">
        <v>211.06</v>
      </c>
      <c r="G324" s="20" t="s">
        <v>49</v>
      </c>
      <c r="H324" s="23" t="n">
        <f aca="false">DATE(YEAR(B324),MONTH(B324),1)</f>
        <v>46174</v>
      </c>
    </row>
    <row r="325" customFormat="false" ht="15" hidden="false" customHeight="false" outlineLevel="0" collapsed="false">
      <c r="A325" s="20" t="n">
        <v>324</v>
      </c>
      <c r="B325" s="21" t="n">
        <v>46182</v>
      </c>
      <c r="C325" s="20" t="s">
        <v>41</v>
      </c>
      <c r="D325" s="20" t="s">
        <v>39</v>
      </c>
      <c r="E325" s="20" t="s">
        <v>32</v>
      </c>
      <c r="F325" s="22" t="n">
        <v>96.26</v>
      </c>
      <c r="G325" s="20" t="s">
        <v>49</v>
      </c>
      <c r="H325" s="23" t="n">
        <f aca="false">DATE(YEAR(B325),MONTH(B325),1)</f>
        <v>46174</v>
      </c>
    </row>
    <row r="326" customFormat="false" ht="15" hidden="false" customHeight="false" outlineLevel="0" collapsed="false">
      <c r="A326" s="20" t="n">
        <v>325</v>
      </c>
      <c r="B326" s="21" t="n">
        <v>46182</v>
      </c>
      <c r="C326" s="20" t="s">
        <v>41</v>
      </c>
      <c r="D326" s="20" t="s">
        <v>39</v>
      </c>
      <c r="E326" s="20" t="s">
        <v>32</v>
      </c>
      <c r="F326" s="22" t="n">
        <v>72.57</v>
      </c>
      <c r="G326" s="20" t="s">
        <v>49</v>
      </c>
      <c r="H326" s="23" t="n">
        <f aca="false">DATE(YEAR(B326),MONTH(B326),1)</f>
        <v>46174</v>
      </c>
    </row>
    <row r="327" customFormat="false" ht="15" hidden="false" customHeight="false" outlineLevel="0" collapsed="false">
      <c r="A327" s="20" t="n">
        <v>326</v>
      </c>
      <c r="B327" s="21" t="n">
        <v>46182</v>
      </c>
      <c r="C327" s="20" t="s">
        <v>34</v>
      </c>
      <c r="D327" s="20" t="s">
        <v>31</v>
      </c>
      <c r="E327" s="20" t="s">
        <v>32</v>
      </c>
      <c r="F327" s="22" t="n">
        <v>19.97</v>
      </c>
      <c r="G327" s="20" t="s">
        <v>35</v>
      </c>
      <c r="H327" s="23" t="n">
        <f aca="false">DATE(YEAR(B327),MONTH(B327),1)</f>
        <v>46174</v>
      </c>
    </row>
    <row r="328" customFormat="false" ht="15" hidden="false" customHeight="false" outlineLevel="0" collapsed="false">
      <c r="A328" s="20" t="n">
        <v>327</v>
      </c>
      <c r="B328" s="21" t="n">
        <v>46183</v>
      </c>
      <c r="C328" s="20" t="s">
        <v>54</v>
      </c>
      <c r="D328" s="20" t="s">
        <v>51</v>
      </c>
      <c r="E328" s="20" t="s">
        <v>32</v>
      </c>
      <c r="F328" s="22" t="n">
        <v>99.9</v>
      </c>
      <c r="G328" s="20" t="s">
        <v>49</v>
      </c>
      <c r="H328" s="23" t="n">
        <f aca="false">DATE(YEAR(B328),MONTH(B328),1)</f>
        <v>46174</v>
      </c>
    </row>
    <row r="329" customFormat="false" ht="15" hidden="false" customHeight="false" outlineLevel="0" collapsed="false">
      <c r="A329" s="20" t="n">
        <v>328</v>
      </c>
      <c r="B329" s="21" t="n">
        <v>46183</v>
      </c>
      <c r="C329" s="20" t="s">
        <v>42</v>
      </c>
      <c r="D329" s="20" t="s">
        <v>39</v>
      </c>
      <c r="E329" s="20" t="s">
        <v>32</v>
      </c>
      <c r="F329" s="22" t="n">
        <v>53.89</v>
      </c>
      <c r="G329" s="20" t="s">
        <v>35</v>
      </c>
      <c r="H329" s="23" t="n">
        <f aca="false">DATE(YEAR(B329),MONTH(B329),1)</f>
        <v>46174</v>
      </c>
    </row>
    <row r="330" customFormat="false" ht="15" hidden="false" customHeight="false" outlineLevel="0" collapsed="false">
      <c r="A330" s="20" t="n">
        <v>329</v>
      </c>
      <c r="B330" s="21" t="n">
        <v>46183</v>
      </c>
      <c r="C330" s="20" t="s">
        <v>70</v>
      </c>
      <c r="D330" s="20" t="s">
        <v>48</v>
      </c>
      <c r="E330" s="20" t="s">
        <v>32</v>
      </c>
      <c r="F330" s="22" t="n">
        <v>86.91</v>
      </c>
      <c r="G330" s="20" t="s">
        <v>33</v>
      </c>
      <c r="H330" s="23" t="n">
        <f aca="false">DATE(YEAR(B330),MONTH(B330),1)</f>
        <v>46174</v>
      </c>
    </row>
    <row r="331" customFormat="false" ht="15" hidden="false" customHeight="false" outlineLevel="0" collapsed="false">
      <c r="A331" s="20" t="n">
        <v>330</v>
      </c>
      <c r="B331" s="21" t="n">
        <v>46185</v>
      </c>
      <c r="C331" s="20" t="s">
        <v>55</v>
      </c>
      <c r="D331" s="20" t="s">
        <v>56</v>
      </c>
      <c r="E331" s="20" t="s">
        <v>32</v>
      </c>
      <c r="F331" s="22" t="n">
        <v>39.9</v>
      </c>
      <c r="G331" s="20" t="s">
        <v>35</v>
      </c>
      <c r="H331" s="23" t="n">
        <f aca="false">DATE(YEAR(B331),MONTH(B331),1)</f>
        <v>46174</v>
      </c>
    </row>
    <row r="332" customFormat="false" ht="15" hidden="false" customHeight="false" outlineLevel="0" collapsed="false">
      <c r="A332" s="20" t="n">
        <v>331</v>
      </c>
      <c r="B332" s="21" t="n">
        <v>46185</v>
      </c>
      <c r="C332" s="20" t="s">
        <v>42</v>
      </c>
      <c r="D332" s="20" t="s">
        <v>39</v>
      </c>
      <c r="E332" s="20" t="s">
        <v>32</v>
      </c>
      <c r="F332" s="22" t="n">
        <v>45.88</v>
      </c>
      <c r="G332" s="20" t="s">
        <v>35</v>
      </c>
      <c r="H332" s="23" t="n">
        <f aca="false">DATE(YEAR(B332),MONTH(B332),1)</f>
        <v>46174</v>
      </c>
    </row>
    <row r="333" customFormat="false" ht="15" hidden="false" customHeight="false" outlineLevel="0" collapsed="false">
      <c r="A333" s="20" t="n">
        <v>332</v>
      </c>
      <c r="B333" s="21" t="n">
        <v>46185</v>
      </c>
      <c r="C333" s="20" t="s">
        <v>34</v>
      </c>
      <c r="D333" s="20" t="s">
        <v>31</v>
      </c>
      <c r="E333" s="20" t="s">
        <v>32</v>
      </c>
      <c r="F333" s="22" t="n">
        <v>23.06</v>
      </c>
      <c r="G333" s="20" t="s">
        <v>35</v>
      </c>
      <c r="H333" s="23" t="n">
        <f aca="false">DATE(YEAR(B333),MONTH(B333),1)</f>
        <v>46174</v>
      </c>
    </row>
    <row r="334" customFormat="false" ht="15" hidden="false" customHeight="false" outlineLevel="0" collapsed="false">
      <c r="A334" s="20" t="n">
        <v>333</v>
      </c>
      <c r="B334" s="21" t="n">
        <v>46185</v>
      </c>
      <c r="C334" s="20" t="s">
        <v>34</v>
      </c>
      <c r="D334" s="20" t="s">
        <v>31</v>
      </c>
      <c r="E334" s="20" t="s">
        <v>32</v>
      </c>
      <c r="F334" s="22" t="n">
        <v>30.27</v>
      </c>
      <c r="G334" s="20" t="s">
        <v>35</v>
      </c>
      <c r="H334" s="23" t="n">
        <f aca="false">DATE(YEAR(B334),MONTH(B334),1)</f>
        <v>46174</v>
      </c>
    </row>
    <row r="335" customFormat="false" ht="15" hidden="false" customHeight="false" outlineLevel="0" collapsed="false">
      <c r="A335" s="20" t="n">
        <v>334</v>
      </c>
      <c r="B335" s="21" t="n">
        <v>46186</v>
      </c>
      <c r="C335" s="20" t="s">
        <v>42</v>
      </c>
      <c r="D335" s="20" t="s">
        <v>39</v>
      </c>
      <c r="E335" s="20" t="s">
        <v>32</v>
      </c>
      <c r="F335" s="22" t="n">
        <v>55.06</v>
      </c>
      <c r="G335" s="20" t="s">
        <v>35</v>
      </c>
      <c r="H335" s="23" t="n">
        <f aca="false">DATE(YEAR(B335),MONTH(B335),1)</f>
        <v>46174</v>
      </c>
    </row>
    <row r="336" customFormat="false" ht="15" hidden="false" customHeight="false" outlineLevel="0" collapsed="false">
      <c r="A336" s="20" t="n">
        <v>335</v>
      </c>
      <c r="B336" s="21" t="n">
        <v>46187</v>
      </c>
      <c r="C336" s="20" t="s">
        <v>57</v>
      </c>
      <c r="D336" s="20" t="s">
        <v>56</v>
      </c>
      <c r="E336" s="20" t="s">
        <v>32</v>
      </c>
      <c r="F336" s="22" t="n">
        <v>21.9</v>
      </c>
      <c r="G336" s="20" t="s">
        <v>35</v>
      </c>
      <c r="H336" s="23" t="n">
        <f aca="false">DATE(YEAR(B336),MONTH(B336),1)</f>
        <v>46174</v>
      </c>
    </row>
    <row r="337" customFormat="false" ht="15" hidden="false" customHeight="false" outlineLevel="0" collapsed="false">
      <c r="A337" s="20" t="n">
        <v>336</v>
      </c>
      <c r="B337" s="21" t="n">
        <v>46187</v>
      </c>
      <c r="C337" s="20" t="s">
        <v>41</v>
      </c>
      <c r="D337" s="20" t="s">
        <v>39</v>
      </c>
      <c r="E337" s="20" t="s">
        <v>32</v>
      </c>
      <c r="F337" s="22" t="n">
        <v>67.67</v>
      </c>
      <c r="G337" s="20" t="s">
        <v>35</v>
      </c>
      <c r="H337" s="23" t="n">
        <f aca="false">DATE(YEAR(B337),MONTH(B337),1)</f>
        <v>46174</v>
      </c>
    </row>
    <row r="338" customFormat="false" ht="15" hidden="false" customHeight="false" outlineLevel="0" collapsed="false">
      <c r="A338" s="20" t="n">
        <v>337</v>
      </c>
      <c r="B338" s="21" t="n">
        <v>46188</v>
      </c>
      <c r="C338" s="20" t="s">
        <v>58</v>
      </c>
      <c r="D338" s="20" t="s">
        <v>51</v>
      </c>
      <c r="E338" s="20" t="s">
        <v>32</v>
      </c>
      <c r="F338" s="22" t="n">
        <v>143.7</v>
      </c>
      <c r="G338" s="20" t="s">
        <v>52</v>
      </c>
      <c r="H338" s="23" t="n">
        <f aca="false">DATE(YEAR(B338),MONTH(B338),1)</f>
        <v>46174</v>
      </c>
    </row>
    <row r="339" customFormat="false" ht="15" hidden="false" customHeight="false" outlineLevel="0" collapsed="false">
      <c r="A339" s="20" t="n">
        <v>338</v>
      </c>
      <c r="B339" s="21" t="n">
        <v>46188</v>
      </c>
      <c r="C339" s="20" t="s">
        <v>76</v>
      </c>
      <c r="D339" s="20" t="s">
        <v>37</v>
      </c>
      <c r="E339" s="20" t="s">
        <v>32</v>
      </c>
      <c r="F339" s="22" t="n">
        <v>62.02</v>
      </c>
      <c r="G339" s="20" t="s">
        <v>33</v>
      </c>
      <c r="H339" s="23" t="n">
        <f aca="false">DATE(YEAR(B339),MONTH(B339),1)</f>
        <v>46174</v>
      </c>
    </row>
    <row r="340" customFormat="false" ht="15" hidden="false" customHeight="false" outlineLevel="0" collapsed="false">
      <c r="A340" s="20" t="n">
        <v>339</v>
      </c>
      <c r="B340" s="21" t="n">
        <v>46188</v>
      </c>
      <c r="C340" s="20" t="s">
        <v>42</v>
      </c>
      <c r="D340" s="20" t="s">
        <v>39</v>
      </c>
      <c r="E340" s="20" t="s">
        <v>32</v>
      </c>
      <c r="F340" s="22" t="n">
        <v>59.3</v>
      </c>
      <c r="G340" s="20" t="s">
        <v>35</v>
      </c>
      <c r="H340" s="23" t="n">
        <f aca="false">DATE(YEAR(B340),MONTH(B340),1)</f>
        <v>46174</v>
      </c>
    </row>
    <row r="341" customFormat="false" ht="15" hidden="false" customHeight="false" outlineLevel="0" collapsed="false">
      <c r="A341" s="20" t="n">
        <v>340</v>
      </c>
      <c r="B341" s="21" t="n">
        <v>46189</v>
      </c>
      <c r="C341" s="20" t="s">
        <v>38</v>
      </c>
      <c r="D341" s="20" t="s">
        <v>39</v>
      </c>
      <c r="E341" s="20" t="s">
        <v>32</v>
      </c>
      <c r="F341" s="22" t="n">
        <v>206.15</v>
      </c>
      <c r="G341" s="20" t="s">
        <v>49</v>
      </c>
      <c r="H341" s="23" t="n">
        <f aca="false">DATE(YEAR(B341),MONTH(B341),1)</f>
        <v>46174</v>
      </c>
    </row>
    <row r="342" customFormat="false" ht="15" hidden="false" customHeight="false" outlineLevel="0" collapsed="false">
      <c r="A342" s="20" t="n">
        <v>341</v>
      </c>
      <c r="B342" s="21" t="n">
        <v>46189</v>
      </c>
      <c r="C342" s="20" t="s">
        <v>38</v>
      </c>
      <c r="D342" s="20" t="s">
        <v>39</v>
      </c>
      <c r="E342" s="20" t="s">
        <v>32</v>
      </c>
      <c r="F342" s="22" t="n">
        <v>103.94</v>
      </c>
      <c r="G342" s="20" t="s">
        <v>35</v>
      </c>
      <c r="H342" s="23" t="n">
        <f aca="false">DATE(YEAR(B342),MONTH(B342),1)</f>
        <v>46174</v>
      </c>
    </row>
    <row r="343" customFormat="false" ht="15" hidden="false" customHeight="false" outlineLevel="0" collapsed="false">
      <c r="A343" s="20" t="n">
        <v>342</v>
      </c>
      <c r="B343" s="21" t="n">
        <v>46191</v>
      </c>
      <c r="C343" s="20" t="s">
        <v>59</v>
      </c>
      <c r="D343" s="20" t="s">
        <v>60</v>
      </c>
      <c r="E343" s="20" t="s">
        <v>32</v>
      </c>
      <c r="F343" s="22" t="n">
        <v>39.12</v>
      </c>
      <c r="G343" s="20" t="s">
        <v>35</v>
      </c>
      <c r="H343" s="23" t="n">
        <f aca="false">DATE(YEAR(B343),MONTH(B343),1)</f>
        <v>46174</v>
      </c>
    </row>
    <row r="344" customFormat="false" ht="15" hidden="false" customHeight="false" outlineLevel="0" collapsed="false">
      <c r="A344" s="20" t="n">
        <v>343</v>
      </c>
      <c r="B344" s="21" t="n">
        <v>46191</v>
      </c>
      <c r="C344" s="20" t="s">
        <v>75</v>
      </c>
      <c r="D344" s="20" t="s">
        <v>60</v>
      </c>
      <c r="E344" s="20" t="s">
        <v>32</v>
      </c>
      <c r="F344" s="22" t="n">
        <v>71.7</v>
      </c>
      <c r="G344" s="20" t="s">
        <v>35</v>
      </c>
      <c r="H344" s="23" t="n">
        <f aca="false">DATE(YEAR(B344),MONTH(B344),1)</f>
        <v>46174</v>
      </c>
    </row>
    <row r="345" customFormat="false" ht="15" hidden="false" customHeight="false" outlineLevel="0" collapsed="false">
      <c r="A345" s="20" t="n">
        <v>344</v>
      </c>
      <c r="B345" s="21" t="n">
        <v>46194</v>
      </c>
      <c r="C345" s="20" t="s">
        <v>42</v>
      </c>
      <c r="D345" s="20" t="s">
        <v>39</v>
      </c>
      <c r="E345" s="20" t="s">
        <v>32</v>
      </c>
      <c r="F345" s="22" t="n">
        <v>55.9</v>
      </c>
      <c r="G345" s="20" t="s">
        <v>35</v>
      </c>
      <c r="H345" s="23" t="n">
        <f aca="false">DATE(YEAR(B345),MONTH(B345),1)</f>
        <v>46174</v>
      </c>
    </row>
    <row r="346" customFormat="false" ht="15" hidden="false" customHeight="false" outlineLevel="0" collapsed="false">
      <c r="A346" s="20" t="n">
        <v>345</v>
      </c>
      <c r="B346" s="21" t="n">
        <v>46194</v>
      </c>
      <c r="C346" s="20" t="s">
        <v>72</v>
      </c>
      <c r="D346" s="20" t="s">
        <v>60</v>
      </c>
      <c r="E346" s="20" t="s">
        <v>32</v>
      </c>
      <c r="F346" s="22" t="n">
        <v>25.9</v>
      </c>
      <c r="G346" s="20" t="s">
        <v>35</v>
      </c>
      <c r="H346" s="23" t="n">
        <f aca="false">DATE(YEAR(B346),MONTH(B346),1)</f>
        <v>46174</v>
      </c>
    </row>
    <row r="347" customFormat="false" ht="15" hidden="false" customHeight="false" outlineLevel="0" collapsed="false">
      <c r="A347" s="20" t="n">
        <v>346</v>
      </c>
      <c r="B347" s="21" t="n">
        <v>46195</v>
      </c>
      <c r="C347" s="20" t="s">
        <v>38</v>
      </c>
      <c r="D347" s="20" t="s">
        <v>39</v>
      </c>
      <c r="E347" s="20" t="s">
        <v>32</v>
      </c>
      <c r="F347" s="22" t="n">
        <v>130.64</v>
      </c>
      <c r="G347" s="20" t="s">
        <v>49</v>
      </c>
      <c r="H347" s="23" t="n">
        <f aca="false">DATE(YEAR(B347),MONTH(B347),1)</f>
        <v>46174</v>
      </c>
    </row>
    <row r="348" customFormat="false" ht="15" hidden="false" customHeight="false" outlineLevel="0" collapsed="false">
      <c r="A348" s="20" t="n">
        <v>347</v>
      </c>
      <c r="B348" s="21" t="n">
        <v>46197</v>
      </c>
      <c r="C348" s="20" t="s">
        <v>34</v>
      </c>
      <c r="D348" s="20" t="s">
        <v>31</v>
      </c>
      <c r="E348" s="20" t="s">
        <v>32</v>
      </c>
      <c r="F348" s="22" t="n">
        <v>26.31</v>
      </c>
      <c r="G348" s="20" t="s">
        <v>35</v>
      </c>
      <c r="H348" s="23" t="n">
        <f aca="false">DATE(YEAR(B348),MONTH(B348),1)</f>
        <v>46174</v>
      </c>
    </row>
    <row r="349" customFormat="false" ht="15" hidden="false" customHeight="false" outlineLevel="0" collapsed="false">
      <c r="A349" s="20" t="n">
        <v>348</v>
      </c>
      <c r="B349" s="21" t="n">
        <v>46197</v>
      </c>
      <c r="C349" s="20" t="s">
        <v>34</v>
      </c>
      <c r="D349" s="20" t="s">
        <v>31</v>
      </c>
      <c r="E349" s="20" t="s">
        <v>32</v>
      </c>
      <c r="F349" s="22" t="n">
        <v>25.93</v>
      </c>
      <c r="G349" s="20" t="s">
        <v>35</v>
      </c>
      <c r="H349" s="23" t="n">
        <f aca="false">DATE(YEAR(B349),MONTH(B349),1)</f>
        <v>46174</v>
      </c>
    </row>
    <row r="350" customFormat="false" ht="15" hidden="false" customHeight="false" outlineLevel="0" collapsed="false">
      <c r="A350" s="20" t="n">
        <v>349</v>
      </c>
      <c r="B350" s="21" t="n">
        <v>46198</v>
      </c>
      <c r="C350" s="20" t="s">
        <v>38</v>
      </c>
      <c r="D350" s="20" t="s">
        <v>39</v>
      </c>
      <c r="E350" s="20" t="s">
        <v>32</v>
      </c>
      <c r="F350" s="22" t="n">
        <v>144.35</v>
      </c>
      <c r="G350" s="20" t="s">
        <v>33</v>
      </c>
      <c r="H350" s="23" t="n">
        <f aca="false">DATE(YEAR(B350),MONTH(B350),1)</f>
        <v>46174</v>
      </c>
    </row>
    <row r="351" customFormat="false" ht="15" hidden="false" customHeight="false" outlineLevel="0" collapsed="false">
      <c r="A351" s="20" t="n">
        <v>350</v>
      </c>
      <c r="B351" s="21" t="n">
        <v>46198</v>
      </c>
      <c r="C351" s="20" t="s">
        <v>34</v>
      </c>
      <c r="D351" s="20" t="s">
        <v>31</v>
      </c>
      <c r="E351" s="20" t="s">
        <v>32</v>
      </c>
      <c r="F351" s="22" t="n">
        <v>29.94</v>
      </c>
      <c r="G351" s="20" t="s">
        <v>35</v>
      </c>
      <c r="H351" s="23" t="n">
        <f aca="false">DATE(YEAR(B351),MONTH(B351),1)</f>
        <v>46174</v>
      </c>
    </row>
    <row r="352" customFormat="false" ht="15" hidden="false" customHeight="false" outlineLevel="0" collapsed="false">
      <c r="A352" s="20" t="n">
        <v>351</v>
      </c>
      <c r="B352" s="21" t="n">
        <v>46198</v>
      </c>
      <c r="C352" s="20" t="s">
        <v>47</v>
      </c>
      <c r="D352" s="20" t="s">
        <v>48</v>
      </c>
      <c r="E352" s="20" t="s">
        <v>32</v>
      </c>
      <c r="F352" s="22" t="n">
        <v>167.47</v>
      </c>
      <c r="G352" s="20" t="s">
        <v>35</v>
      </c>
      <c r="H352" s="23" t="n">
        <f aca="false">DATE(YEAR(B352),MONTH(B352),1)</f>
        <v>46174</v>
      </c>
    </row>
    <row r="353" customFormat="false" ht="15" hidden="false" customHeight="false" outlineLevel="0" collapsed="false">
      <c r="A353" s="20" t="n">
        <v>352</v>
      </c>
      <c r="B353" s="21" t="n">
        <v>46201</v>
      </c>
      <c r="C353" s="20" t="s">
        <v>63</v>
      </c>
      <c r="D353" s="20" t="s">
        <v>64</v>
      </c>
      <c r="E353" s="20" t="s">
        <v>44</v>
      </c>
      <c r="F353" s="22" t="n">
        <v>31.06</v>
      </c>
      <c r="G353" s="20" t="s">
        <v>33</v>
      </c>
      <c r="H353" s="23" t="n">
        <f aca="false">DATE(YEAR(B353),MONTH(B353),1)</f>
        <v>46174</v>
      </c>
    </row>
    <row r="354" customFormat="false" ht="15" hidden="false" customHeight="false" outlineLevel="0" collapsed="false">
      <c r="A354" s="20" t="n">
        <v>353</v>
      </c>
      <c r="B354" s="21" t="n">
        <v>46205</v>
      </c>
      <c r="C354" s="20" t="s">
        <v>30</v>
      </c>
      <c r="D354" s="20" t="s">
        <v>31</v>
      </c>
      <c r="E354" s="20" t="s">
        <v>32</v>
      </c>
      <c r="F354" s="22" t="n">
        <v>150</v>
      </c>
      <c r="G354" s="20" t="s">
        <v>33</v>
      </c>
      <c r="H354" s="23" t="n">
        <f aca="false">DATE(YEAR(B354),MONTH(B354),1)</f>
        <v>46204</v>
      </c>
    </row>
    <row r="355" customFormat="false" ht="15" hidden="false" customHeight="false" outlineLevel="0" collapsed="false">
      <c r="A355" s="20" t="n">
        <v>354</v>
      </c>
      <c r="B355" s="21" t="n">
        <v>46205</v>
      </c>
      <c r="C355" s="20" t="s">
        <v>70</v>
      </c>
      <c r="D355" s="20" t="s">
        <v>48</v>
      </c>
      <c r="E355" s="20" t="s">
        <v>32</v>
      </c>
      <c r="F355" s="22" t="n">
        <v>143.04</v>
      </c>
      <c r="G355" s="20" t="s">
        <v>49</v>
      </c>
      <c r="H355" s="23" t="n">
        <f aca="false">DATE(YEAR(B355),MONTH(B355),1)</f>
        <v>46204</v>
      </c>
    </row>
    <row r="356" customFormat="false" ht="15" hidden="false" customHeight="false" outlineLevel="0" collapsed="false">
      <c r="A356" s="20" t="n">
        <v>355</v>
      </c>
      <c r="B356" s="21" t="n">
        <v>46205</v>
      </c>
      <c r="C356" s="20" t="s">
        <v>72</v>
      </c>
      <c r="D356" s="20" t="s">
        <v>60</v>
      </c>
      <c r="E356" s="20" t="s">
        <v>32</v>
      </c>
      <c r="F356" s="22" t="n">
        <v>74.56</v>
      </c>
      <c r="G356" s="20" t="s">
        <v>49</v>
      </c>
      <c r="H356" s="23" t="n">
        <f aca="false">DATE(YEAR(B356),MONTH(B356),1)</f>
        <v>46204</v>
      </c>
    </row>
    <row r="357" customFormat="false" ht="15" hidden="false" customHeight="false" outlineLevel="0" collapsed="false">
      <c r="A357" s="20" t="n">
        <v>356</v>
      </c>
      <c r="B357" s="21" t="n">
        <v>46206</v>
      </c>
      <c r="C357" s="20" t="s">
        <v>36</v>
      </c>
      <c r="D357" s="20" t="s">
        <v>37</v>
      </c>
      <c r="E357" s="20" t="s">
        <v>32</v>
      </c>
      <c r="F357" s="22" t="n">
        <v>109.9</v>
      </c>
      <c r="G357" s="20" t="s">
        <v>35</v>
      </c>
      <c r="H357" s="23" t="n">
        <f aca="false">DATE(YEAR(B357),MONTH(B357),1)</f>
        <v>46204</v>
      </c>
    </row>
    <row r="358" customFormat="false" ht="15" hidden="false" customHeight="false" outlineLevel="0" collapsed="false">
      <c r="A358" s="20" t="n">
        <v>357</v>
      </c>
      <c r="B358" s="21" t="n">
        <v>46206</v>
      </c>
      <c r="C358" s="20" t="s">
        <v>38</v>
      </c>
      <c r="D358" s="20" t="s">
        <v>39</v>
      </c>
      <c r="E358" s="20" t="s">
        <v>32</v>
      </c>
      <c r="F358" s="22" t="n">
        <v>229.03</v>
      </c>
      <c r="G358" s="20" t="s">
        <v>49</v>
      </c>
      <c r="H358" s="23" t="n">
        <f aca="false">DATE(YEAR(B358),MONTH(B358),1)</f>
        <v>46204</v>
      </c>
    </row>
    <row r="359" customFormat="false" ht="15" hidden="false" customHeight="false" outlineLevel="0" collapsed="false">
      <c r="A359" s="20" t="n">
        <v>358</v>
      </c>
      <c r="B359" s="21" t="n">
        <v>46206</v>
      </c>
      <c r="C359" s="20" t="s">
        <v>42</v>
      </c>
      <c r="D359" s="20" t="s">
        <v>39</v>
      </c>
      <c r="E359" s="20" t="s">
        <v>32</v>
      </c>
      <c r="F359" s="22" t="n">
        <v>32.57</v>
      </c>
      <c r="G359" s="20" t="s">
        <v>35</v>
      </c>
      <c r="H359" s="23" t="n">
        <f aca="false">DATE(YEAR(B359),MONTH(B359),1)</f>
        <v>46204</v>
      </c>
    </row>
    <row r="360" customFormat="false" ht="15" hidden="false" customHeight="false" outlineLevel="0" collapsed="false">
      <c r="A360" s="20" t="n">
        <v>359</v>
      </c>
      <c r="B360" s="21" t="n">
        <v>46207</v>
      </c>
      <c r="C360" s="20" t="s">
        <v>38</v>
      </c>
      <c r="D360" s="20" t="s">
        <v>39</v>
      </c>
      <c r="E360" s="20" t="s">
        <v>32</v>
      </c>
      <c r="F360" s="22" t="n">
        <v>201.54</v>
      </c>
      <c r="G360" s="20" t="s">
        <v>35</v>
      </c>
      <c r="H360" s="23" t="n">
        <f aca="false">DATE(YEAR(B360),MONTH(B360),1)</f>
        <v>46204</v>
      </c>
    </row>
    <row r="361" customFormat="false" ht="15" hidden="false" customHeight="false" outlineLevel="0" collapsed="false">
      <c r="A361" s="20" t="n">
        <v>360</v>
      </c>
      <c r="B361" s="21" t="n">
        <v>46208</v>
      </c>
      <c r="C361" s="20" t="s">
        <v>43</v>
      </c>
      <c r="D361" s="20" t="s">
        <v>43</v>
      </c>
      <c r="E361" s="20" t="s">
        <v>44</v>
      </c>
      <c r="F361" s="22" t="n">
        <v>5600</v>
      </c>
      <c r="G361" s="20" t="s">
        <v>33</v>
      </c>
      <c r="H361" s="23" t="n">
        <f aca="false">DATE(YEAR(B361),MONTH(B361),1)</f>
        <v>46204</v>
      </c>
    </row>
    <row r="362" customFormat="false" ht="15" hidden="false" customHeight="false" outlineLevel="0" collapsed="false">
      <c r="A362" s="20" t="n">
        <v>361</v>
      </c>
      <c r="B362" s="21" t="n">
        <v>46208</v>
      </c>
      <c r="C362" s="20" t="s">
        <v>47</v>
      </c>
      <c r="D362" s="20" t="s">
        <v>48</v>
      </c>
      <c r="E362" s="20" t="s">
        <v>32</v>
      </c>
      <c r="F362" s="22" t="n">
        <v>147.46</v>
      </c>
      <c r="G362" s="20" t="s">
        <v>35</v>
      </c>
      <c r="H362" s="23" t="n">
        <f aca="false">DATE(YEAR(B362),MONTH(B362),1)</f>
        <v>46204</v>
      </c>
    </row>
    <row r="363" customFormat="false" ht="15" hidden="false" customHeight="false" outlineLevel="0" collapsed="false">
      <c r="A363" s="20" t="n">
        <v>362</v>
      </c>
      <c r="B363" s="21" t="n">
        <v>46209</v>
      </c>
      <c r="C363" s="20" t="s">
        <v>45</v>
      </c>
      <c r="D363" s="20" t="s">
        <v>46</v>
      </c>
      <c r="E363" s="20" t="s">
        <v>32</v>
      </c>
      <c r="F363" s="22" t="n">
        <v>59.9</v>
      </c>
      <c r="G363" s="20" t="s">
        <v>35</v>
      </c>
      <c r="H363" s="23" t="n">
        <f aca="false">DATE(YEAR(B363),MONTH(B363),1)</f>
        <v>46204</v>
      </c>
    </row>
    <row r="364" customFormat="false" ht="15" hidden="false" customHeight="false" outlineLevel="0" collapsed="false">
      <c r="A364" s="20" t="n">
        <v>363</v>
      </c>
      <c r="B364" s="21" t="n">
        <v>46211</v>
      </c>
      <c r="C364" s="20" t="s">
        <v>50</v>
      </c>
      <c r="D364" s="20" t="s">
        <v>51</v>
      </c>
      <c r="E364" s="20" t="s">
        <v>32</v>
      </c>
      <c r="F364" s="22" t="n">
        <v>1350</v>
      </c>
      <c r="G364" s="20" t="s">
        <v>52</v>
      </c>
      <c r="H364" s="23" t="n">
        <f aca="false">DATE(YEAR(B364),MONTH(B364),1)</f>
        <v>46204</v>
      </c>
    </row>
    <row r="365" customFormat="false" ht="15" hidden="false" customHeight="false" outlineLevel="0" collapsed="false">
      <c r="A365" s="20" t="n">
        <v>364</v>
      </c>
      <c r="B365" s="21" t="n">
        <v>46211</v>
      </c>
      <c r="C365" s="20" t="s">
        <v>53</v>
      </c>
      <c r="D365" s="20" t="s">
        <v>51</v>
      </c>
      <c r="E365" s="20" t="s">
        <v>32</v>
      </c>
      <c r="F365" s="22" t="n">
        <v>250</v>
      </c>
      <c r="G365" s="20" t="s">
        <v>52</v>
      </c>
      <c r="H365" s="23" t="n">
        <f aca="false">DATE(YEAR(B365),MONTH(B365),1)</f>
        <v>46204</v>
      </c>
    </row>
    <row r="366" customFormat="false" ht="15" hidden="false" customHeight="false" outlineLevel="0" collapsed="false">
      <c r="A366" s="20" t="n">
        <v>365</v>
      </c>
      <c r="B366" s="21" t="n">
        <v>46211</v>
      </c>
      <c r="C366" s="20" t="s">
        <v>42</v>
      </c>
      <c r="D366" s="20" t="s">
        <v>39</v>
      </c>
      <c r="E366" s="20" t="s">
        <v>32</v>
      </c>
      <c r="F366" s="22" t="n">
        <v>33.3</v>
      </c>
      <c r="G366" s="20" t="s">
        <v>35</v>
      </c>
      <c r="H366" s="23" t="n">
        <f aca="false">DATE(YEAR(B366),MONTH(B366),1)</f>
        <v>46204</v>
      </c>
    </row>
    <row r="367" customFormat="false" ht="15" hidden="false" customHeight="false" outlineLevel="0" collapsed="false">
      <c r="A367" s="20" t="n">
        <v>366</v>
      </c>
      <c r="B367" s="21" t="n">
        <v>46211</v>
      </c>
      <c r="C367" s="20" t="s">
        <v>34</v>
      </c>
      <c r="D367" s="20" t="s">
        <v>31</v>
      </c>
      <c r="E367" s="20" t="s">
        <v>32</v>
      </c>
      <c r="F367" s="22" t="n">
        <v>19.49</v>
      </c>
      <c r="G367" s="20" t="s">
        <v>35</v>
      </c>
      <c r="H367" s="23" t="n">
        <f aca="false">DATE(YEAR(B367),MONTH(B367),1)</f>
        <v>46204</v>
      </c>
    </row>
    <row r="368" customFormat="false" ht="15" hidden="false" customHeight="false" outlineLevel="0" collapsed="false">
      <c r="A368" s="20" t="n">
        <v>367</v>
      </c>
      <c r="B368" s="21" t="n">
        <v>46211</v>
      </c>
      <c r="C368" s="20" t="s">
        <v>34</v>
      </c>
      <c r="D368" s="20" t="s">
        <v>31</v>
      </c>
      <c r="E368" s="20" t="s">
        <v>32</v>
      </c>
      <c r="F368" s="22" t="n">
        <v>36.02</v>
      </c>
      <c r="G368" s="20" t="s">
        <v>35</v>
      </c>
      <c r="H368" s="23" t="n">
        <f aca="false">DATE(YEAR(B368),MONTH(B368),1)</f>
        <v>46204</v>
      </c>
    </row>
    <row r="369" customFormat="false" ht="15" hidden="false" customHeight="false" outlineLevel="0" collapsed="false">
      <c r="A369" s="20" t="n">
        <v>368</v>
      </c>
      <c r="B369" s="21" t="n">
        <v>46213</v>
      </c>
      <c r="C369" s="20" t="s">
        <v>54</v>
      </c>
      <c r="D369" s="20" t="s">
        <v>51</v>
      </c>
      <c r="E369" s="20" t="s">
        <v>32</v>
      </c>
      <c r="F369" s="22" t="n">
        <v>99.9</v>
      </c>
      <c r="G369" s="20" t="s">
        <v>49</v>
      </c>
      <c r="H369" s="23" t="n">
        <f aca="false">DATE(YEAR(B369),MONTH(B369),1)</f>
        <v>46204</v>
      </c>
    </row>
    <row r="370" customFormat="false" ht="15" hidden="false" customHeight="false" outlineLevel="0" collapsed="false">
      <c r="A370" s="20" t="n">
        <v>369</v>
      </c>
      <c r="B370" s="21" t="n">
        <v>46213</v>
      </c>
      <c r="C370" s="20" t="s">
        <v>41</v>
      </c>
      <c r="D370" s="20" t="s">
        <v>39</v>
      </c>
      <c r="E370" s="20" t="s">
        <v>32</v>
      </c>
      <c r="F370" s="22" t="n">
        <v>94.79</v>
      </c>
      <c r="G370" s="20" t="s">
        <v>33</v>
      </c>
      <c r="H370" s="23" t="n">
        <f aca="false">DATE(YEAR(B370),MONTH(B370),1)</f>
        <v>46204</v>
      </c>
    </row>
    <row r="371" customFormat="false" ht="15" hidden="false" customHeight="false" outlineLevel="0" collapsed="false">
      <c r="A371" s="20" t="n">
        <v>370</v>
      </c>
      <c r="B371" s="21" t="n">
        <v>46213</v>
      </c>
      <c r="C371" s="20" t="s">
        <v>41</v>
      </c>
      <c r="D371" s="20" t="s">
        <v>39</v>
      </c>
      <c r="E371" s="20" t="s">
        <v>32</v>
      </c>
      <c r="F371" s="22" t="n">
        <v>73.51</v>
      </c>
      <c r="G371" s="20" t="s">
        <v>35</v>
      </c>
      <c r="H371" s="23" t="n">
        <f aca="false">DATE(YEAR(B371),MONTH(B371),1)</f>
        <v>46204</v>
      </c>
    </row>
    <row r="372" customFormat="false" ht="15" hidden="false" customHeight="false" outlineLevel="0" collapsed="false">
      <c r="A372" s="20" t="n">
        <v>371</v>
      </c>
      <c r="B372" s="21" t="n">
        <v>46213</v>
      </c>
      <c r="C372" s="20" t="s">
        <v>34</v>
      </c>
      <c r="D372" s="20" t="s">
        <v>31</v>
      </c>
      <c r="E372" s="20" t="s">
        <v>32</v>
      </c>
      <c r="F372" s="22" t="n">
        <v>30.28</v>
      </c>
      <c r="G372" s="20" t="s">
        <v>35</v>
      </c>
      <c r="H372" s="23" t="n">
        <f aca="false">DATE(YEAR(B372),MONTH(B372),1)</f>
        <v>46204</v>
      </c>
    </row>
    <row r="373" customFormat="false" ht="15" hidden="false" customHeight="false" outlineLevel="0" collapsed="false">
      <c r="A373" s="20" t="n">
        <v>372</v>
      </c>
      <c r="B373" s="21" t="n">
        <v>46215</v>
      </c>
      <c r="C373" s="20" t="s">
        <v>55</v>
      </c>
      <c r="D373" s="20" t="s">
        <v>56</v>
      </c>
      <c r="E373" s="20" t="s">
        <v>32</v>
      </c>
      <c r="F373" s="22" t="n">
        <v>39.9</v>
      </c>
      <c r="G373" s="20" t="s">
        <v>35</v>
      </c>
      <c r="H373" s="23" t="n">
        <f aca="false">DATE(YEAR(B373),MONTH(B373),1)</f>
        <v>46204</v>
      </c>
    </row>
    <row r="374" customFormat="false" ht="15" hidden="false" customHeight="false" outlineLevel="0" collapsed="false">
      <c r="A374" s="20" t="n">
        <v>373</v>
      </c>
      <c r="B374" s="21" t="n">
        <v>46216</v>
      </c>
      <c r="C374" s="20" t="s">
        <v>41</v>
      </c>
      <c r="D374" s="20" t="s">
        <v>39</v>
      </c>
      <c r="E374" s="20" t="s">
        <v>32</v>
      </c>
      <c r="F374" s="22" t="n">
        <v>64.89</v>
      </c>
      <c r="G374" s="20" t="s">
        <v>33</v>
      </c>
      <c r="H374" s="23" t="n">
        <f aca="false">DATE(YEAR(B374),MONTH(B374),1)</f>
        <v>46204</v>
      </c>
    </row>
    <row r="375" customFormat="false" ht="15" hidden="false" customHeight="false" outlineLevel="0" collapsed="false">
      <c r="A375" s="20" t="n">
        <v>374</v>
      </c>
      <c r="B375" s="21" t="n">
        <v>46217</v>
      </c>
      <c r="C375" s="20" t="s">
        <v>57</v>
      </c>
      <c r="D375" s="20" t="s">
        <v>56</v>
      </c>
      <c r="E375" s="20" t="s">
        <v>32</v>
      </c>
      <c r="F375" s="22" t="n">
        <v>21.9</v>
      </c>
      <c r="G375" s="20" t="s">
        <v>35</v>
      </c>
      <c r="H375" s="23" t="n">
        <f aca="false">DATE(YEAR(B375),MONTH(B375),1)</f>
        <v>46204</v>
      </c>
    </row>
    <row r="376" customFormat="false" ht="15" hidden="false" customHeight="false" outlineLevel="0" collapsed="false">
      <c r="A376" s="20" t="n">
        <v>375</v>
      </c>
      <c r="B376" s="21" t="n">
        <v>46217</v>
      </c>
      <c r="C376" s="20" t="s">
        <v>68</v>
      </c>
      <c r="D376" s="20" t="s">
        <v>48</v>
      </c>
      <c r="E376" s="20" t="s">
        <v>32</v>
      </c>
      <c r="F376" s="22" t="n">
        <v>110.79</v>
      </c>
      <c r="G376" s="20" t="s">
        <v>49</v>
      </c>
      <c r="H376" s="23" t="n">
        <f aca="false">DATE(YEAR(B376),MONTH(B376),1)</f>
        <v>46204</v>
      </c>
    </row>
    <row r="377" customFormat="false" ht="15" hidden="false" customHeight="false" outlineLevel="0" collapsed="false">
      <c r="A377" s="20" t="n">
        <v>376</v>
      </c>
      <c r="B377" s="21" t="n">
        <v>46218</v>
      </c>
      <c r="C377" s="20" t="s">
        <v>58</v>
      </c>
      <c r="D377" s="20" t="s">
        <v>51</v>
      </c>
      <c r="E377" s="20" t="s">
        <v>32</v>
      </c>
      <c r="F377" s="22" t="n">
        <v>120.24</v>
      </c>
      <c r="G377" s="20" t="s">
        <v>52</v>
      </c>
      <c r="H377" s="23" t="n">
        <f aca="false">DATE(YEAR(B377),MONTH(B377),1)</f>
        <v>46204</v>
      </c>
    </row>
    <row r="378" customFormat="false" ht="15" hidden="false" customHeight="false" outlineLevel="0" collapsed="false">
      <c r="A378" s="20" t="n">
        <v>377</v>
      </c>
      <c r="B378" s="21" t="n">
        <v>46218</v>
      </c>
      <c r="C378" s="20" t="s">
        <v>34</v>
      </c>
      <c r="D378" s="20" t="s">
        <v>31</v>
      </c>
      <c r="E378" s="20" t="s">
        <v>32</v>
      </c>
      <c r="F378" s="22" t="n">
        <v>29.92</v>
      </c>
      <c r="G378" s="20" t="s">
        <v>35</v>
      </c>
      <c r="H378" s="23" t="n">
        <f aca="false">DATE(YEAR(B378),MONTH(B378),1)</f>
        <v>46204</v>
      </c>
    </row>
    <row r="379" customFormat="false" ht="15" hidden="false" customHeight="false" outlineLevel="0" collapsed="false">
      <c r="A379" s="20" t="n">
        <v>378</v>
      </c>
      <c r="B379" s="21" t="n">
        <v>46218</v>
      </c>
      <c r="C379" s="20" t="s">
        <v>34</v>
      </c>
      <c r="D379" s="20" t="s">
        <v>31</v>
      </c>
      <c r="E379" s="20" t="s">
        <v>32</v>
      </c>
      <c r="F379" s="22" t="n">
        <v>13.85</v>
      </c>
      <c r="G379" s="20" t="s">
        <v>35</v>
      </c>
      <c r="H379" s="23" t="n">
        <f aca="false">DATE(YEAR(B379),MONTH(B379),1)</f>
        <v>46204</v>
      </c>
    </row>
    <row r="380" customFormat="false" ht="15" hidden="false" customHeight="false" outlineLevel="0" collapsed="false">
      <c r="A380" s="20" t="n">
        <v>379</v>
      </c>
      <c r="B380" s="21" t="n">
        <v>46218</v>
      </c>
      <c r="C380" s="20" t="s">
        <v>65</v>
      </c>
      <c r="D380" s="20" t="s">
        <v>62</v>
      </c>
      <c r="E380" s="20" t="s">
        <v>32</v>
      </c>
      <c r="F380" s="22" t="n">
        <v>244.93</v>
      </c>
      <c r="G380" s="20" t="s">
        <v>35</v>
      </c>
      <c r="H380" s="23" t="n">
        <f aca="false">DATE(YEAR(B380),MONTH(B380),1)</f>
        <v>46204</v>
      </c>
    </row>
    <row r="381" customFormat="false" ht="15" hidden="false" customHeight="false" outlineLevel="0" collapsed="false">
      <c r="A381" s="20" t="n">
        <v>380</v>
      </c>
      <c r="B381" s="21" t="n">
        <v>46219</v>
      </c>
      <c r="C381" s="20" t="s">
        <v>38</v>
      </c>
      <c r="D381" s="20" t="s">
        <v>39</v>
      </c>
      <c r="E381" s="20" t="s">
        <v>32</v>
      </c>
      <c r="F381" s="22" t="n">
        <v>81.85</v>
      </c>
      <c r="G381" s="20" t="s">
        <v>33</v>
      </c>
      <c r="H381" s="23" t="n">
        <f aca="false">DATE(YEAR(B381),MONTH(B381),1)</f>
        <v>46204</v>
      </c>
    </row>
    <row r="382" customFormat="false" ht="15" hidden="false" customHeight="false" outlineLevel="0" collapsed="false">
      <c r="A382" s="20" t="n">
        <v>381</v>
      </c>
      <c r="B382" s="21" t="n">
        <v>46219</v>
      </c>
      <c r="C382" s="20" t="s">
        <v>34</v>
      </c>
      <c r="D382" s="20" t="s">
        <v>31</v>
      </c>
      <c r="E382" s="20" t="s">
        <v>32</v>
      </c>
      <c r="F382" s="22" t="n">
        <v>19.57</v>
      </c>
      <c r="G382" s="20" t="s">
        <v>35</v>
      </c>
      <c r="H382" s="23" t="n">
        <f aca="false">DATE(YEAR(B382),MONTH(B382),1)</f>
        <v>46204</v>
      </c>
    </row>
    <row r="383" customFormat="false" ht="15" hidden="false" customHeight="false" outlineLevel="0" collapsed="false">
      <c r="A383" s="20" t="n">
        <v>382</v>
      </c>
      <c r="B383" s="21" t="n">
        <v>46220</v>
      </c>
      <c r="C383" s="20" t="s">
        <v>72</v>
      </c>
      <c r="D383" s="20" t="s">
        <v>60</v>
      </c>
      <c r="E383" s="20" t="s">
        <v>32</v>
      </c>
      <c r="F383" s="22" t="n">
        <v>51.71</v>
      </c>
      <c r="G383" s="20" t="s">
        <v>49</v>
      </c>
      <c r="H383" s="23" t="n">
        <f aca="false">DATE(YEAR(B383),MONTH(B383),1)</f>
        <v>46204</v>
      </c>
    </row>
    <row r="384" customFormat="false" ht="15" hidden="false" customHeight="false" outlineLevel="0" collapsed="false">
      <c r="A384" s="20" t="n">
        <v>383</v>
      </c>
      <c r="B384" s="21" t="n">
        <v>46221</v>
      </c>
      <c r="C384" s="20" t="s">
        <v>38</v>
      </c>
      <c r="D384" s="20" t="s">
        <v>39</v>
      </c>
      <c r="E384" s="20" t="s">
        <v>32</v>
      </c>
      <c r="F384" s="22" t="n">
        <v>192.31</v>
      </c>
      <c r="G384" s="20" t="s">
        <v>33</v>
      </c>
      <c r="H384" s="23" t="n">
        <f aca="false">DATE(YEAR(B384),MONTH(B384),1)</f>
        <v>46204</v>
      </c>
    </row>
    <row r="385" customFormat="false" ht="15" hidden="false" customHeight="false" outlineLevel="0" collapsed="false">
      <c r="A385" s="20" t="n">
        <v>384</v>
      </c>
      <c r="B385" s="21" t="n">
        <v>46223</v>
      </c>
      <c r="C385" s="20" t="s">
        <v>41</v>
      </c>
      <c r="D385" s="20" t="s">
        <v>39</v>
      </c>
      <c r="E385" s="20" t="s">
        <v>32</v>
      </c>
      <c r="F385" s="22" t="n">
        <v>102.09</v>
      </c>
      <c r="G385" s="20" t="s">
        <v>35</v>
      </c>
      <c r="H385" s="23" t="n">
        <f aca="false">DATE(YEAR(B385),MONTH(B385),1)</f>
        <v>46204</v>
      </c>
    </row>
    <row r="386" customFormat="false" ht="15" hidden="false" customHeight="false" outlineLevel="0" collapsed="false">
      <c r="A386" s="20" t="n">
        <v>385</v>
      </c>
      <c r="B386" s="21" t="n">
        <v>46224</v>
      </c>
      <c r="C386" s="20" t="s">
        <v>42</v>
      </c>
      <c r="D386" s="20" t="s">
        <v>39</v>
      </c>
      <c r="E386" s="20" t="s">
        <v>32</v>
      </c>
      <c r="F386" s="22" t="n">
        <v>34.86</v>
      </c>
      <c r="G386" s="20" t="s">
        <v>35</v>
      </c>
      <c r="H386" s="23" t="n">
        <f aca="false">DATE(YEAR(B386),MONTH(B386),1)</f>
        <v>46204</v>
      </c>
    </row>
    <row r="387" customFormat="false" ht="15" hidden="false" customHeight="false" outlineLevel="0" collapsed="false">
      <c r="A387" s="20" t="n">
        <v>386</v>
      </c>
      <c r="B387" s="21" t="n">
        <v>46225</v>
      </c>
      <c r="C387" s="20" t="s">
        <v>38</v>
      </c>
      <c r="D387" s="20" t="s">
        <v>39</v>
      </c>
      <c r="E387" s="20" t="s">
        <v>32</v>
      </c>
      <c r="F387" s="22" t="n">
        <v>78.58</v>
      </c>
      <c r="G387" s="20" t="s">
        <v>49</v>
      </c>
      <c r="H387" s="23" t="n">
        <f aca="false">DATE(YEAR(B387),MONTH(B387),1)</f>
        <v>46204</v>
      </c>
    </row>
    <row r="388" customFormat="false" ht="15" hidden="false" customHeight="false" outlineLevel="0" collapsed="false">
      <c r="A388" s="20" t="n">
        <v>387</v>
      </c>
      <c r="B388" s="21" t="n">
        <v>46225</v>
      </c>
      <c r="C388" s="20" t="s">
        <v>42</v>
      </c>
      <c r="D388" s="20" t="s">
        <v>39</v>
      </c>
      <c r="E388" s="20" t="s">
        <v>32</v>
      </c>
      <c r="F388" s="22" t="n">
        <v>29.41</v>
      </c>
      <c r="G388" s="20" t="s">
        <v>35</v>
      </c>
      <c r="H388" s="23" t="n">
        <f aca="false">DATE(YEAR(B388),MONTH(B388),1)</f>
        <v>46204</v>
      </c>
    </row>
    <row r="389" customFormat="false" ht="15" hidden="false" customHeight="false" outlineLevel="0" collapsed="false">
      <c r="A389" s="20" t="n">
        <v>388</v>
      </c>
      <c r="B389" s="21" t="n">
        <v>46229</v>
      </c>
      <c r="C389" s="20" t="s">
        <v>38</v>
      </c>
      <c r="D389" s="20" t="s">
        <v>39</v>
      </c>
      <c r="E389" s="20" t="s">
        <v>32</v>
      </c>
      <c r="F389" s="22" t="n">
        <v>160.05</v>
      </c>
      <c r="G389" s="20" t="s">
        <v>35</v>
      </c>
      <c r="H389" s="23" t="n">
        <f aca="false">DATE(YEAR(B389),MONTH(B389),1)</f>
        <v>46204</v>
      </c>
    </row>
    <row r="390" customFormat="false" ht="15" hidden="false" customHeight="false" outlineLevel="0" collapsed="false">
      <c r="A390" s="20" t="n">
        <v>389</v>
      </c>
      <c r="B390" s="21" t="n">
        <v>46229</v>
      </c>
      <c r="C390" s="20" t="s">
        <v>41</v>
      </c>
      <c r="D390" s="20" t="s">
        <v>39</v>
      </c>
      <c r="E390" s="20" t="s">
        <v>32</v>
      </c>
      <c r="F390" s="22" t="n">
        <v>77.14</v>
      </c>
      <c r="G390" s="20" t="s">
        <v>49</v>
      </c>
      <c r="H390" s="23" t="n">
        <f aca="false">DATE(YEAR(B390),MONTH(B390),1)</f>
        <v>46204</v>
      </c>
    </row>
    <row r="391" customFormat="false" ht="15" hidden="false" customHeight="false" outlineLevel="0" collapsed="false">
      <c r="A391" s="20" t="n">
        <v>390</v>
      </c>
      <c r="B391" s="21" t="n">
        <v>46229</v>
      </c>
      <c r="C391" s="20" t="s">
        <v>34</v>
      </c>
      <c r="D391" s="20" t="s">
        <v>31</v>
      </c>
      <c r="E391" s="20" t="s">
        <v>32</v>
      </c>
      <c r="F391" s="22" t="n">
        <v>32.57</v>
      </c>
      <c r="G391" s="20" t="s">
        <v>35</v>
      </c>
      <c r="H391" s="23" t="n">
        <f aca="false">DATE(YEAR(B391),MONTH(B391),1)</f>
        <v>46204</v>
      </c>
    </row>
    <row r="392" customFormat="false" ht="15" hidden="false" customHeight="false" outlineLevel="0" collapsed="false">
      <c r="A392" s="20" t="n">
        <v>391</v>
      </c>
      <c r="B392" s="21" t="n">
        <v>46230</v>
      </c>
      <c r="C392" s="20" t="s">
        <v>65</v>
      </c>
      <c r="D392" s="20" t="s">
        <v>62</v>
      </c>
      <c r="E392" s="20" t="s">
        <v>32</v>
      </c>
      <c r="F392" s="22" t="n">
        <v>179.79</v>
      </c>
      <c r="G392" s="20" t="s">
        <v>35</v>
      </c>
      <c r="H392" s="23" t="n">
        <f aca="false">DATE(YEAR(B392),MONTH(B392),1)</f>
        <v>46204</v>
      </c>
    </row>
    <row r="393" customFormat="false" ht="15" hidden="false" customHeight="false" outlineLevel="0" collapsed="false">
      <c r="A393" s="20" t="n">
        <v>392</v>
      </c>
      <c r="B393" s="21" t="n">
        <v>46231</v>
      </c>
      <c r="C393" s="20" t="s">
        <v>63</v>
      </c>
      <c r="D393" s="20" t="s">
        <v>64</v>
      </c>
      <c r="E393" s="20" t="s">
        <v>44</v>
      </c>
      <c r="F393" s="22" t="n">
        <v>32.08</v>
      </c>
      <c r="G393" s="20" t="s">
        <v>33</v>
      </c>
      <c r="H393" s="23" t="n">
        <f aca="false">DATE(YEAR(B393),MONTH(B393),1)</f>
        <v>46204</v>
      </c>
    </row>
    <row r="394" customFormat="false" ht="15" hidden="false" customHeight="false" outlineLevel="0" collapsed="false">
      <c r="A394" s="20" t="n">
        <v>393</v>
      </c>
      <c r="B394" s="21" t="n">
        <v>46235</v>
      </c>
      <c r="C394" s="20" t="s">
        <v>76</v>
      </c>
      <c r="D394" s="20" t="s">
        <v>37</v>
      </c>
      <c r="E394" s="20" t="s">
        <v>32</v>
      </c>
      <c r="F394" s="22" t="n">
        <v>109.96</v>
      </c>
      <c r="G394" s="20" t="s">
        <v>33</v>
      </c>
      <c r="H394" s="23" t="n">
        <f aca="false">DATE(YEAR(B394),MONTH(B394),1)</f>
        <v>46235</v>
      </c>
    </row>
    <row r="395" customFormat="false" ht="15" hidden="false" customHeight="false" outlineLevel="0" collapsed="false">
      <c r="A395" s="20" t="n">
        <v>394</v>
      </c>
      <c r="B395" s="21" t="n">
        <v>46236</v>
      </c>
      <c r="C395" s="20" t="s">
        <v>41</v>
      </c>
      <c r="D395" s="20" t="s">
        <v>39</v>
      </c>
      <c r="E395" s="20" t="s">
        <v>32</v>
      </c>
      <c r="F395" s="22" t="n">
        <v>65.2</v>
      </c>
      <c r="G395" s="20" t="s">
        <v>33</v>
      </c>
      <c r="H395" s="23" t="n">
        <f aca="false">DATE(YEAR(B395),MONTH(B395),1)</f>
        <v>46235</v>
      </c>
    </row>
    <row r="396" customFormat="false" ht="15" hidden="false" customHeight="false" outlineLevel="0" collapsed="false">
      <c r="A396" s="20" t="n">
        <v>395</v>
      </c>
      <c r="B396" s="21" t="n">
        <v>46236</v>
      </c>
      <c r="C396" s="20" t="s">
        <v>42</v>
      </c>
      <c r="D396" s="20" t="s">
        <v>39</v>
      </c>
      <c r="E396" s="20" t="s">
        <v>32</v>
      </c>
      <c r="F396" s="22" t="n">
        <v>34.55</v>
      </c>
      <c r="G396" s="20" t="s">
        <v>35</v>
      </c>
      <c r="H396" s="23" t="n">
        <f aca="false">DATE(YEAR(B396),MONTH(B396),1)</f>
        <v>46235</v>
      </c>
    </row>
    <row r="397" customFormat="false" ht="15" hidden="false" customHeight="false" outlineLevel="0" collapsed="false">
      <c r="A397" s="20" t="n">
        <v>396</v>
      </c>
      <c r="B397" s="21" t="n">
        <v>46236</v>
      </c>
      <c r="C397" s="20" t="s">
        <v>30</v>
      </c>
      <c r="D397" s="20" t="s">
        <v>31</v>
      </c>
      <c r="E397" s="20" t="s">
        <v>32</v>
      </c>
      <c r="F397" s="22" t="n">
        <v>150</v>
      </c>
      <c r="G397" s="20" t="s">
        <v>33</v>
      </c>
      <c r="H397" s="23" t="n">
        <f aca="false">DATE(YEAR(B397),MONTH(B397),1)</f>
        <v>46235</v>
      </c>
    </row>
    <row r="398" customFormat="false" ht="15" hidden="false" customHeight="false" outlineLevel="0" collapsed="false">
      <c r="A398" s="20" t="n">
        <v>397</v>
      </c>
      <c r="B398" s="21" t="n">
        <v>46237</v>
      </c>
      <c r="C398" s="20" t="s">
        <v>36</v>
      </c>
      <c r="D398" s="20" t="s">
        <v>37</v>
      </c>
      <c r="E398" s="20" t="s">
        <v>32</v>
      </c>
      <c r="F398" s="22" t="n">
        <v>109.9</v>
      </c>
      <c r="G398" s="20" t="s">
        <v>35</v>
      </c>
      <c r="H398" s="23" t="n">
        <f aca="false">DATE(YEAR(B398),MONTH(B398),1)</f>
        <v>46235</v>
      </c>
    </row>
    <row r="399" customFormat="false" ht="15" hidden="false" customHeight="false" outlineLevel="0" collapsed="false">
      <c r="A399" s="20" t="n">
        <v>398</v>
      </c>
      <c r="B399" s="21" t="n">
        <v>46238</v>
      </c>
      <c r="C399" s="20" t="s">
        <v>34</v>
      </c>
      <c r="D399" s="20" t="s">
        <v>31</v>
      </c>
      <c r="E399" s="20" t="s">
        <v>32</v>
      </c>
      <c r="F399" s="22" t="n">
        <v>24</v>
      </c>
      <c r="G399" s="20" t="s">
        <v>35</v>
      </c>
      <c r="H399" s="23" t="n">
        <f aca="false">DATE(YEAR(B399),MONTH(B399),1)</f>
        <v>46235</v>
      </c>
    </row>
    <row r="400" customFormat="false" ht="15" hidden="false" customHeight="false" outlineLevel="0" collapsed="false">
      <c r="A400" s="20" t="n">
        <v>399</v>
      </c>
      <c r="B400" s="21" t="n">
        <v>46238</v>
      </c>
      <c r="C400" s="20" t="s">
        <v>34</v>
      </c>
      <c r="D400" s="20" t="s">
        <v>31</v>
      </c>
      <c r="E400" s="20" t="s">
        <v>32</v>
      </c>
      <c r="F400" s="22" t="n">
        <v>28.84</v>
      </c>
      <c r="G400" s="20" t="s">
        <v>35</v>
      </c>
      <c r="H400" s="23" t="n">
        <f aca="false">DATE(YEAR(B400),MONTH(B400),1)</f>
        <v>46235</v>
      </c>
    </row>
    <row r="401" customFormat="false" ht="15" hidden="false" customHeight="false" outlineLevel="0" collapsed="false">
      <c r="A401" s="20" t="n">
        <v>400</v>
      </c>
      <c r="B401" s="21" t="n">
        <v>46239</v>
      </c>
      <c r="C401" s="20" t="s">
        <v>43</v>
      </c>
      <c r="D401" s="20" t="s">
        <v>43</v>
      </c>
      <c r="E401" s="20" t="s">
        <v>44</v>
      </c>
      <c r="F401" s="22" t="n">
        <v>5600</v>
      </c>
      <c r="G401" s="20" t="s">
        <v>33</v>
      </c>
      <c r="H401" s="23" t="n">
        <f aca="false">DATE(YEAR(B401),MONTH(B401),1)</f>
        <v>46235</v>
      </c>
    </row>
    <row r="402" customFormat="false" ht="15" hidden="false" customHeight="false" outlineLevel="0" collapsed="false">
      <c r="A402" s="20" t="n">
        <v>401</v>
      </c>
      <c r="B402" s="21" t="n">
        <v>46239</v>
      </c>
      <c r="C402" s="20" t="s">
        <v>34</v>
      </c>
      <c r="D402" s="20" t="s">
        <v>31</v>
      </c>
      <c r="E402" s="20" t="s">
        <v>32</v>
      </c>
      <c r="F402" s="22" t="n">
        <v>24.96</v>
      </c>
      <c r="G402" s="20" t="s">
        <v>35</v>
      </c>
      <c r="H402" s="23" t="n">
        <f aca="false">DATE(YEAR(B402),MONTH(B402),1)</f>
        <v>46235</v>
      </c>
    </row>
    <row r="403" customFormat="false" ht="15" hidden="false" customHeight="false" outlineLevel="0" collapsed="false">
      <c r="A403" s="20" t="n">
        <v>402</v>
      </c>
      <c r="B403" s="21" t="n">
        <v>46240</v>
      </c>
      <c r="C403" s="20" t="s">
        <v>45</v>
      </c>
      <c r="D403" s="20" t="s">
        <v>46</v>
      </c>
      <c r="E403" s="20" t="s">
        <v>32</v>
      </c>
      <c r="F403" s="22" t="n">
        <v>59.9</v>
      </c>
      <c r="G403" s="20" t="s">
        <v>35</v>
      </c>
      <c r="H403" s="23" t="n">
        <f aca="false">DATE(YEAR(B403),MONTH(B403),1)</f>
        <v>46235</v>
      </c>
    </row>
    <row r="404" customFormat="false" ht="15" hidden="false" customHeight="false" outlineLevel="0" collapsed="false">
      <c r="A404" s="20" t="n">
        <v>403</v>
      </c>
      <c r="B404" s="21" t="n">
        <v>46240</v>
      </c>
      <c r="C404" s="20" t="s">
        <v>38</v>
      </c>
      <c r="D404" s="20" t="s">
        <v>39</v>
      </c>
      <c r="E404" s="20" t="s">
        <v>32</v>
      </c>
      <c r="F404" s="22" t="n">
        <v>229.51</v>
      </c>
      <c r="G404" s="20" t="s">
        <v>35</v>
      </c>
      <c r="H404" s="23" t="n">
        <f aca="false">DATE(YEAR(B404),MONTH(B404),1)</f>
        <v>46235</v>
      </c>
    </row>
    <row r="405" customFormat="false" ht="15" hidden="false" customHeight="false" outlineLevel="0" collapsed="false">
      <c r="A405" s="20" t="n">
        <v>404</v>
      </c>
      <c r="B405" s="21" t="n">
        <v>46242</v>
      </c>
      <c r="C405" s="20" t="s">
        <v>50</v>
      </c>
      <c r="D405" s="20" t="s">
        <v>51</v>
      </c>
      <c r="E405" s="20" t="s">
        <v>32</v>
      </c>
      <c r="F405" s="22" t="n">
        <v>1350</v>
      </c>
      <c r="G405" s="20" t="s">
        <v>52</v>
      </c>
      <c r="H405" s="23" t="n">
        <f aca="false">DATE(YEAR(B405),MONTH(B405),1)</f>
        <v>46235</v>
      </c>
    </row>
    <row r="406" customFormat="false" ht="15" hidden="false" customHeight="false" outlineLevel="0" collapsed="false">
      <c r="A406" s="20" t="n">
        <v>405</v>
      </c>
      <c r="B406" s="21" t="n">
        <v>46242</v>
      </c>
      <c r="C406" s="20" t="s">
        <v>53</v>
      </c>
      <c r="D406" s="20" t="s">
        <v>51</v>
      </c>
      <c r="E406" s="20" t="s">
        <v>32</v>
      </c>
      <c r="F406" s="22" t="n">
        <v>250</v>
      </c>
      <c r="G406" s="20" t="s">
        <v>52</v>
      </c>
      <c r="H406" s="23" t="n">
        <f aca="false">DATE(YEAR(B406),MONTH(B406),1)</f>
        <v>46235</v>
      </c>
    </row>
    <row r="407" customFormat="false" ht="15" hidden="false" customHeight="false" outlineLevel="0" collapsed="false">
      <c r="A407" s="20" t="n">
        <v>406</v>
      </c>
      <c r="B407" s="21" t="n">
        <v>46242</v>
      </c>
      <c r="C407" s="20" t="s">
        <v>34</v>
      </c>
      <c r="D407" s="20" t="s">
        <v>31</v>
      </c>
      <c r="E407" s="20" t="s">
        <v>32</v>
      </c>
      <c r="F407" s="22" t="n">
        <v>30.45</v>
      </c>
      <c r="G407" s="20" t="s">
        <v>35</v>
      </c>
      <c r="H407" s="23" t="n">
        <f aca="false">DATE(YEAR(B407),MONTH(B407),1)</f>
        <v>46235</v>
      </c>
    </row>
    <row r="408" customFormat="false" ht="15" hidden="false" customHeight="false" outlineLevel="0" collapsed="false">
      <c r="A408" s="20" t="n">
        <v>407</v>
      </c>
      <c r="B408" s="21" t="n">
        <v>46242</v>
      </c>
      <c r="C408" s="20" t="s">
        <v>34</v>
      </c>
      <c r="D408" s="20" t="s">
        <v>31</v>
      </c>
      <c r="E408" s="20" t="s">
        <v>32</v>
      </c>
      <c r="F408" s="22" t="n">
        <v>37.8</v>
      </c>
      <c r="G408" s="20" t="s">
        <v>35</v>
      </c>
      <c r="H408" s="23" t="n">
        <f aca="false">DATE(YEAR(B408),MONTH(B408),1)</f>
        <v>46235</v>
      </c>
    </row>
    <row r="409" customFormat="false" ht="15" hidden="false" customHeight="false" outlineLevel="0" collapsed="false">
      <c r="A409" s="20" t="n">
        <v>408</v>
      </c>
      <c r="B409" s="21" t="n">
        <v>46243</v>
      </c>
      <c r="C409" s="20" t="s">
        <v>41</v>
      </c>
      <c r="D409" s="20" t="s">
        <v>39</v>
      </c>
      <c r="E409" s="20" t="s">
        <v>32</v>
      </c>
      <c r="F409" s="22" t="n">
        <v>55.6</v>
      </c>
      <c r="G409" s="20" t="s">
        <v>33</v>
      </c>
      <c r="H409" s="23" t="n">
        <f aca="false">DATE(YEAR(B409),MONTH(B409),1)</f>
        <v>46235</v>
      </c>
    </row>
    <row r="410" customFormat="false" ht="15" hidden="false" customHeight="false" outlineLevel="0" collapsed="false">
      <c r="A410" s="20" t="n">
        <v>409</v>
      </c>
      <c r="B410" s="21" t="n">
        <v>46244</v>
      </c>
      <c r="C410" s="20" t="s">
        <v>54</v>
      </c>
      <c r="D410" s="20" t="s">
        <v>51</v>
      </c>
      <c r="E410" s="20" t="s">
        <v>32</v>
      </c>
      <c r="F410" s="22" t="n">
        <v>99.9</v>
      </c>
      <c r="G410" s="20" t="s">
        <v>49</v>
      </c>
      <c r="H410" s="23" t="n">
        <f aca="false">DATE(YEAR(B410),MONTH(B410),1)</f>
        <v>46235</v>
      </c>
    </row>
    <row r="411" customFormat="false" ht="15" hidden="false" customHeight="false" outlineLevel="0" collapsed="false">
      <c r="A411" s="20" t="n">
        <v>410</v>
      </c>
      <c r="B411" s="21" t="n">
        <v>46244</v>
      </c>
      <c r="C411" s="20" t="s">
        <v>38</v>
      </c>
      <c r="D411" s="20" t="s">
        <v>39</v>
      </c>
      <c r="E411" s="20" t="s">
        <v>32</v>
      </c>
      <c r="F411" s="22" t="n">
        <v>176.01</v>
      </c>
      <c r="G411" s="20" t="s">
        <v>35</v>
      </c>
      <c r="H411" s="23" t="n">
        <f aca="false">DATE(YEAR(B411),MONTH(B411),1)</f>
        <v>46235</v>
      </c>
    </row>
    <row r="412" customFormat="false" ht="15" hidden="false" customHeight="false" outlineLevel="0" collapsed="false">
      <c r="A412" s="20" t="n">
        <v>411</v>
      </c>
      <c r="B412" s="21" t="n">
        <v>46244</v>
      </c>
      <c r="C412" s="20" t="s">
        <v>42</v>
      </c>
      <c r="D412" s="20" t="s">
        <v>39</v>
      </c>
      <c r="E412" s="20" t="s">
        <v>32</v>
      </c>
      <c r="F412" s="22" t="n">
        <v>44.4</v>
      </c>
      <c r="G412" s="20" t="s">
        <v>35</v>
      </c>
      <c r="H412" s="23" t="n">
        <f aca="false">DATE(YEAR(B412),MONTH(B412),1)</f>
        <v>46235</v>
      </c>
    </row>
    <row r="413" customFormat="false" ht="15" hidden="false" customHeight="false" outlineLevel="0" collapsed="false">
      <c r="A413" s="20" t="n">
        <v>412</v>
      </c>
      <c r="B413" s="21" t="n">
        <v>46244</v>
      </c>
      <c r="C413" s="20" t="s">
        <v>34</v>
      </c>
      <c r="D413" s="20" t="s">
        <v>31</v>
      </c>
      <c r="E413" s="20" t="s">
        <v>32</v>
      </c>
      <c r="F413" s="22" t="n">
        <v>26.32</v>
      </c>
      <c r="G413" s="20" t="s">
        <v>35</v>
      </c>
      <c r="H413" s="23" t="n">
        <f aca="false">DATE(YEAR(B413),MONTH(B413),1)</f>
        <v>46235</v>
      </c>
    </row>
    <row r="414" customFormat="false" ht="15" hidden="false" customHeight="false" outlineLevel="0" collapsed="false">
      <c r="A414" s="20" t="n">
        <v>413</v>
      </c>
      <c r="B414" s="21" t="n">
        <v>46245</v>
      </c>
      <c r="C414" s="20" t="s">
        <v>38</v>
      </c>
      <c r="D414" s="20" t="s">
        <v>39</v>
      </c>
      <c r="E414" s="20" t="s">
        <v>32</v>
      </c>
      <c r="F414" s="22" t="n">
        <v>177.22</v>
      </c>
      <c r="G414" s="20" t="s">
        <v>49</v>
      </c>
      <c r="H414" s="23" t="n">
        <f aca="false">DATE(YEAR(B414),MONTH(B414),1)</f>
        <v>46235</v>
      </c>
    </row>
    <row r="415" customFormat="false" ht="15" hidden="false" customHeight="false" outlineLevel="0" collapsed="false">
      <c r="A415" s="20" t="n">
        <v>414</v>
      </c>
      <c r="B415" s="21" t="n">
        <v>46245</v>
      </c>
      <c r="C415" s="20" t="s">
        <v>38</v>
      </c>
      <c r="D415" s="20" t="s">
        <v>39</v>
      </c>
      <c r="E415" s="20" t="s">
        <v>32</v>
      </c>
      <c r="F415" s="22" t="n">
        <v>135.86</v>
      </c>
      <c r="G415" s="20" t="s">
        <v>35</v>
      </c>
      <c r="H415" s="23" t="n">
        <f aca="false">DATE(YEAR(B415),MONTH(B415),1)</f>
        <v>46235</v>
      </c>
    </row>
    <row r="416" customFormat="false" ht="15" hidden="false" customHeight="false" outlineLevel="0" collapsed="false">
      <c r="A416" s="20" t="n">
        <v>415</v>
      </c>
      <c r="B416" s="21" t="n">
        <v>46245</v>
      </c>
      <c r="C416" s="20" t="s">
        <v>65</v>
      </c>
      <c r="D416" s="20" t="s">
        <v>62</v>
      </c>
      <c r="E416" s="20" t="s">
        <v>32</v>
      </c>
      <c r="F416" s="22" t="n">
        <v>275.14</v>
      </c>
      <c r="G416" s="20" t="s">
        <v>35</v>
      </c>
      <c r="H416" s="23" t="n">
        <f aca="false">DATE(YEAR(B416),MONTH(B416),1)</f>
        <v>46235</v>
      </c>
    </row>
    <row r="417" customFormat="false" ht="15" hidden="false" customHeight="false" outlineLevel="0" collapsed="false">
      <c r="A417" s="20" t="n">
        <v>416</v>
      </c>
      <c r="B417" s="21" t="n">
        <v>46246</v>
      </c>
      <c r="C417" s="20" t="s">
        <v>66</v>
      </c>
      <c r="D417" s="20" t="s">
        <v>67</v>
      </c>
      <c r="E417" s="20" t="s">
        <v>44</v>
      </c>
      <c r="F417" s="22" t="n">
        <v>583.14</v>
      </c>
      <c r="G417" s="20" t="s">
        <v>33</v>
      </c>
      <c r="H417" s="23" t="n">
        <f aca="false">DATE(YEAR(B417),MONTH(B417),1)</f>
        <v>46235</v>
      </c>
    </row>
    <row r="418" customFormat="false" ht="15" hidden="false" customHeight="false" outlineLevel="0" collapsed="false">
      <c r="A418" s="20" t="n">
        <v>417</v>
      </c>
      <c r="B418" s="21" t="n">
        <v>46246</v>
      </c>
      <c r="C418" s="20" t="s">
        <v>55</v>
      </c>
      <c r="D418" s="20" t="s">
        <v>56</v>
      </c>
      <c r="E418" s="20" t="s">
        <v>32</v>
      </c>
      <c r="F418" s="22" t="n">
        <v>39.9</v>
      </c>
      <c r="G418" s="20" t="s">
        <v>35</v>
      </c>
      <c r="H418" s="23" t="n">
        <f aca="false">DATE(YEAR(B418),MONTH(B418),1)</f>
        <v>46235</v>
      </c>
    </row>
    <row r="419" customFormat="false" ht="15" hidden="false" customHeight="false" outlineLevel="0" collapsed="false">
      <c r="A419" s="20" t="n">
        <v>418</v>
      </c>
      <c r="B419" s="21" t="n">
        <v>46247</v>
      </c>
      <c r="C419" s="20" t="s">
        <v>70</v>
      </c>
      <c r="D419" s="20" t="s">
        <v>48</v>
      </c>
      <c r="E419" s="20" t="s">
        <v>32</v>
      </c>
      <c r="F419" s="22" t="n">
        <v>159.84</v>
      </c>
      <c r="G419" s="20" t="s">
        <v>49</v>
      </c>
      <c r="H419" s="23" t="n">
        <f aca="false">DATE(YEAR(B419),MONTH(B419),1)</f>
        <v>46235</v>
      </c>
    </row>
    <row r="420" customFormat="false" ht="15" hidden="false" customHeight="false" outlineLevel="0" collapsed="false">
      <c r="A420" s="20" t="n">
        <v>419</v>
      </c>
      <c r="B420" s="21" t="n">
        <v>46248</v>
      </c>
      <c r="C420" s="20" t="s">
        <v>57</v>
      </c>
      <c r="D420" s="20" t="s">
        <v>56</v>
      </c>
      <c r="E420" s="20" t="s">
        <v>32</v>
      </c>
      <c r="F420" s="22" t="n">
        <v>21.9</v>
      </c>
      <c r="G420" s="20" t="s">
        <v>35</v>
      </c>
      <c r="H420" s="23" t="n">
        <f aca="false">DATE(YEAR(B420),MONTH(B420),1)</f>
        <v>46235</v>
      </c>
    </row>
    <row r="421" customFormat="false" ht="15" hidden="false" customHeight="false" outlineLevel="0" collapsed="false">
      <c r="A421" s="20" t="n">
        <v>420</v>
      </c>
      <c r="B421" s="21" t="n">
        <v>46248</v>
      </c>
      <c r="C421" s="20" t="s">
        <v>41</v>
      </c>
      <c r="D421" s="20" t="s">
        <v>39</v>
      </c>
      <c r="E421" s="20" t="s">
        <v>32</v>
      </c>
      <c r="F421" s="22" t="n">
        <v>35.96</v>
      </c>
      <c r="G421" s="20" t="s">
        <v>49</v>
      </c>
      <c r="H421" s="23" t="n">
        <f aca="false">DATE(YEAR(B421),MONTH(B421),1)</f>
        <v>46235</v>
      </c>
    </row>
    <row r="422" customFormat="false" ht="15" hidden="false" customHeight="false" outlineLevel="0" collapsed="false">
      <c r="A422" s="20" t="n">
        <v>421</v>
      </c>
      <c r="B422" s="21" t="n">
        <v>46249</v>
      </c>
      <c r="C422" s="20" t="s">
        <v>58</v>
      </c>
      <c r="D422" s="20" t="s">
        <v>51</v>
      </c>
      <c r="E422" s="20" t="s">
        <v>32</v>
      </c>
      <c r="F422" s="22" t="n">
        <v>153.84</v>
      </c>
      <c r="G422" s="20" t="s">
        <v>52</v>
      </c>
      <c r="H422" s="23" t="n">
        <f aca="false">DATE(YEAR(B422),MONTH(B422),1)</f>
        <v>46235</v>
      </c>
    </row>
    <row r="423" customFormat="false" ht="15" hidden="false" customHeight="false" outlineLevel="0" collapsed="false">
      <c r="A423" s="20" t="n">
        <v>422</v>
      </c>
      <c r="B423" s="21" t="n">
        <v>46250</v>
      </c>
      <c r="C423" s="20" t="s">
        <v>38</v>
      </c>
      <c r="D423" s="20" t="s">
        <v>39</v>
      </c>
      <c r="E423" s="20" t="s">
        <v>32</v>
      </c>
      <c r="F423" s="22" t="n">
        <v>125.67</v>
      </c>
      <c r="G423" s="20" t="s">
        <v>35</v>
      </c>
      <c r="H423" s="23" t="n">
        <f aca="false">DATE(YEAR(B423),MONTH(B423),1)</f>
        <v>46235</v>
      </c>
    </row>
    <row r="424" customFormat="false" ht="15" hidden="false" customHeight="false" outlineLevel="0" collapsed="false">
      <c r="A424" s="20" t="n">
        <v>423</v>
      </c>
      <c r="B424" s="21" t="n">
        <v>46250</v>
      </c>
      <c r="C424" s="20" t="s">
        <v>34</v>
      </c>
      <c r="D424" s="20" t="s">
        <v>31</v>
      </c>
      <c r="E424" s="20" t="s">
        <v>32</v>
      </c>
      <c r="F424" s="22" t="n">
        <v>15.16</v>
      </c>
      <c r="G424" s="20" t="s">
        <v>35</v>
      </c>
      <c r="H424" s="23" t="n">
        <f aca="false">DATE(YEAR(B424),MONTH(B424),1)</f>
        <v>46235</v>
      </c>
    </row>
    <row r="425" customFormat="false" ht="15" hidden="false" customHeight="false" outlineLevel="0" collapsed="false">
      <c r="A425" s="20" t="n">
        <v>424</v>
      </c>
      <c r="B425" s="21" t="n">
        <v>46250</v>
      </c>
      <c r="C425" s="20" t="s">
        <v>70</v>
      </c>
      <c r="D425" s="20" t="s">
        <v>48</v>
      </c>
      <c r="E425" s="20" t="s">
        <v>32</v>
      </c>
      <c r="F425" s="22" t="n">
        <v>99.38</v>
      </c>
      <c r="G425" s="20" t="s">
        <v>35</v>
      </c>
      <c r="H425" s="23" t="n">
        <f aca="false">DATE(YEAR(B425),MONTH(B425),1)</f>
        <v>46235</v>
      </c>
    </row>
    <row r="426" customFormat="false" ht="15" hidden="false" customHeight="false" outlineLevel="0" collapsed="false">
      <c r="A426" s="20" t="n">
        <v>425</v>
      </c>
      <c r="B426" s="21" t="n">
        <v>46251</v>
      </c>
      <c r="C426" s="20" t="s">
        <v>47</v>
      </c>
      <c r="D426" s="20" t="s">
        <v>48</v>
      </c>
      <c r="E426" s="20" t="s">
        <v>32</v>
      </c>
      <c r="F426" s="22" t="n">
        <v>94.01</v>
      </c>
      <c r="G426" s="20" t="s">
        <v>33</v>
      </c>
      <c r="H426" s="23" t="n">
        <f aca="false">DATE(YEAR(B426),MONTH(B426),1)</f>
        <v>46235</v>
      </c>
    </row>
    <row r="427" customFormat="false" ht="15" hidden="false" customHeight="false" outlineLevel="0" collapsed="false">
      <c r="A427" s="20" t="n">
        <v>426</v>
      </c>
      <c r="B427" s="21" t="n">
        <v>46252</v>
      </c>
      <c r="C427" s="20" t="s">
        <v>42</v>
      </c>
      <c r="D427" s="20" t="s">
        <v>39</v>
      </c>
      <c r="E427" s="20" t="s">
        <v>32</v>
      </c>
      <c r="F427" s="22" t="n">
        <v>31.5</v>
      </c>
      <c r="G427" s="20" t="s">
        <v>35</v>
      </c>
      <c r="H427" s="23" t="n">
        <f aca="false">DATE(YEAR(B427),MONTH(B427),1)</f>
        <v>46235</v>
      </c>
    </row>
    <row r="428" customFormat="false" ht="15" hidden="false" customHeight="false" outlineLevel="0" collapsed="false">
      <c r="A428" s="20" t="n">
        <v>427</v>
      </c>
      <c r="B428" s="21" t="n">
        <v>46252</v>
      </c>
      <c r="C428" s="20" t="s">
        <v>34</v>
      </c>
      <c r="D428" s="20" t="s">
        <v>31</v>
      </c>
      <c r="E428" s="20" t="s">
        <v>32</v>
      </c>
      <c r="F428" s="22" t="n">
        <v>22.61</v>
      </c>
      <c r="G428" s="20" t="s">
        <v>35</v>
      </c>
      <c r="H428" s="23" t="n">
        <f aca="false">DATE(YEAR(B428),MONTH(B428),1)</f>
        <v>46235</v>
      </c>
    </row>
    <row r="429" customFormat="false" ht="15" hidden="false" customHeight="false" outlineLevel="0" collapsed="false">
      <c r="A429" s="20" t="n">
        <v>428</v>
      </c>
      <c r="B429" s="21" t="n">
        <v>46253</v>
      </c>
      <c r="C429" s="20" t="s">
        <v>76</v>
      </c>
      <c r="D429" s="20" t="s">
        <v>37</v>
      </c>
      <c r="E429" s="20" t="s">
        <v>32</v>
      </c>
      <c r="F429" s="22" t="n">
        <v>28.42</v>
      </c>
      <c r="G429" s="20" t="s">
        <v>49</v>
      </c>
      <c r="H429" s="23" t="n">
        <f aca="false">DATE(YEAR(B429),MONTH(B429),1)</f>
        <v>46235</v>
      </c>
    </row>
    <row r="430" customFormat="false" ht="15" hidden="false" customHeight="false" outlineLevel="0" collapsed="false">
      <c r="A430" s="20" t="n">
        <v>429</v>
      </c>
      <c r="B430" s="21" t="n">
        <v>46254</v>
      </c>
      <c r="C430" s="20" t="s">
        <v>42</v>
      </c>
      <c r="D430" s="20" t="s">
        <v>39</v>
      </c>
      <c r="E430" s="20" t="s">
        <v>32</v>
      </c>
      <c r="F430" s="22" t="n">
        <v>57.77</v>
      </c>
      <c r="G430" s="20" t="s">
        <v>35</v>
      </c>
      <c r="H430" s="23" t="n">
        <f aca="false">DATE(YEAR(B430),MONTH(B430),1)</f>
        <v>46235</v>
      </c>
    </row>
    <row r="431" customFormat="false" ht="15" hidden="false" customHeight="false" outlineLevel="0" collapsed="false">
      <c r="A431" s="20" t="n">
        <v>430</v>
      </c>
      <c r="B431" s="21" t="n">
        <v>46255</v>
      </c>
      <c r="C431" s="20" t="s">
        <v>38</v>
      </c>
      <c r="D431" s="20" t="s">
        <v>39</v>
      </c>
      <c r="E431" s="20" t="s">
        <v>32</v>
      </c>
      <c r="F431" s="22" t="n">
        <v>200.28</v>
      </c>
      <c r="G431" s="20" t="s">
        <v>49</v>
      </c>
      <c r="H431" s="23" t="n">
        <f aca="false">DATE(YEAR(B431),MONTH(B431),1)</f>
        <v>46235</v>
      </c>
    </row>
    <row r="432" customFormat="false" ht="15" hidden="false" customHeight="false" outlineLevel="0" collapsed="false">
      <c r="A432" s="20" t="n">
        <v>431</v>
      </c>
      <c r="B432" s="21" t="n">
        <v>46255</v>
      </c>
      <c r="C432" s="20" t="s">
        <v>42</v>
      </c>
      <c r="D432" s="20" t="s">
        <v>39</v>
      </c>
      <c r="E432" s="20" t="s">
        <v>32</v>
      </c>
      <c r="F432" s="22" t="n">
        <v>44.57</v>
      </c>
      <c r="G432" s="20" t="s">
        <v>35</v>
      </c>
      <c r="H432" s="23" t="n">
        <f aca="false">DATE(YEAR(B432),MONTH(B432),1)</f>
        <v>46235</v>
      </c>
    </row>
    <row r="433" customFormat="false" ht="15" hidden="false" customHeight="false" outlineLevel="0" collapsed="false">
      <c r="A433" s="20" t="n">
        <v>432</v>
      </c>
      <c r="B433" s="21" t="n">
        <v>46255</v>
      </c>
      <c r="C433" s="20" t="s">
        <v>34</v>
      </c>
      <c r="D433" s="20" t="s">
        <v>31</v>
      </c>
      <c r="E433" s="20" t="s">
        <v>32</v>
      </c>
      <c r="F433" s="22" t="n">
        <v>27.83</v>
      </c>
      <c r="G433" s="20" t="s">
        <v>35</v>
      </c>
      <c r="H433" s="23" t="n">
        <f aca="false">DATE(YEAR(B433),MONTH(B433),1)</f>
        <v>46235</v>
      </c>
    </row>
    <row r="434" customFormat="false" ht="15" hidden="false" customHeight="false" outlineLevel="0" collapsed="false">
      <c r="A434" s="20" t="n">
        <v>433</v>
      </c>
      <c r="B434" s="21" t="n">
        <v>46256</v>
      </c>
      <c r="C434" s="20" t="s">
        <v>41</v>
      </c>
      <c r="D434" s="20" t="s">
        <v>39</v>
      </c>
      <c r="E434" s="20" t="s">
        <v>32</v>
      </c>
      <c r="F434" s="22" t="n">
        <v>95.46</v>
      </c>
      <c r="G434" s="20" t="s">
        <v>33</v>
      </c>
      <c r="H434" s="23" t="n">
        <f aca="false">DATE(YEAR(B434),MONTH(B434),1)</f>
        <v>46235</v>
      </c>
    </row>
    <row r="435" customFormat="false" ht="15" hidden="false" customHeight="false" outlineLevel="0" collapsed="false">
      <c r="A435" s="20" t="n">
        <v>434</v>
      </c>
      <c r="B435" s="21" t="n">
        <v>46256</v>
      </c>
      <c r="C435" s="20" t="s">
        <v>72</v>
      </c>
      <c r="D435" s="20" t="s">
        <v>60</v>
      </c>
      <c r="E435" s="20" t="s">
        <v>32</v>
      </c>
      <c r="F435" s="22" t="n">
        <v>84.63</v>
      </c>
      <c r="G435" s="20" t="s">
        <v>33</v>
      </c>
      <c r="H435" s="23" t="n">
        <f aca="false">DATE(YEAR(B435),MONTH(B435),1)</f>
        <v>46235</v>
      </c>
    </row>
    <row r="436" customFormat="false" ht="15" hidden="false" customHeight="false" outlineLevel="0" collapsed="false">
      <c r="A436" s="20" t="n">
        <v>435</v>
      </c>
      <c r="B436" s="21" t="n">
        <v>46258</v>
      </c>
      <c r="C436" s="20" t="s">
        <v>70</v>
      </c>
      <c r="D436" s="20" t="s">
        <v>48</v>
      </c>
      <c r="E436" s="20" t="s">
        <v>32</v>
      </c>
      <c r="F436" s="22" t="n">
        <v>152.32</v>
      </c>
      <c r="G436" s="20" t="s">
        <v>33</v>
      </c>
      <c r="H436" s="23" t="n">
        <f aca="false">DATE(YEAR(B436),MONTH(B436),1)</f>
        <v>46235</v>
      </c>
    </row>
    <row r="437" customFormat="false" ht="15" hidden="false" customHeight="false" outlineLevel="0" collapsed="false">
      <c r="A437" s="20" t="n">
        <v>436</v>
      </c>
      <c r="B437" s="21" t="n">
        <v>46258</v>
      </c>
      <c r="C437" s="20" t="s">
        <v>75</v>
      </c>
      <c r="D437" s="20" t="s">
        <v>60</v>
      </c>
      <c r="E437" s="20" t="s">
        <v>32</v>
      </c>
      <c r="F437" s="22" t="n">
        <v>82.49</v>
      </c>
      <c r="G437" s="20" t="s">
        <v>49</v>
      </c>
      <c r="H437" s="23" t="n">
        <f aca="false">DATE(YEAR(B437),MONTH(B437),1)</f>
        <v>46235</v>
      </c>
    </row>
    <row r="438" customFormat="false" ht="15" hidden="false" customHeight="false" outlineLevel="0" collapsed="false">
      <c r="A438" s="20" t="n">
        <v>437</v>
      </c>
      <c r="B438" s="21" t="n">
        <v>46262</v>
      </c>
      <c r="C438" s="20" t="s">
        <v>63</v>
      </c>
      <c r="D438" s="20" t="s">
        <v>64</v>
      </c>
      <c r="E438" s="20" t="s">
        <v>44</v>
      </c>
      <c r="F438" s="22" t="n">
        <v>38.23</v>
      </c>
      <c r="G438" s="20" t="s">
        <v>33</v>
      </c>
      <c r="H438" s="23" t="n">
        <f aca="false">DATE(YEAR(B438),MONTH(B438),1)</f>
        <v>46235</v>
      </c>
    </row>
    <row r="439" customFormat="false" ht="15" hidden="false" customHeight="false" outlineLevel="0" collapsed="false">
      <c r="A439" s="20" t="n">
        <v>438</v>
      </c>
      <c r="B439" s="21" t="n">
        <v>46262</v>
      </c>
      <c r="C439" s="20" t="s">
        <v>41</v>
      </c>
      <c r="D439" s="20" t="s">
        <v>39</v>
      </c>
      <c r="E439" s="20" t="s">
        <v>32</v>
      </c>
      <c r="F439" s="22" t="n">
        <v>69.57</v>
      </c>
      <c r="G439" s="20" t="s">
        <v>35</v>
      </c>
      <c r="H439" s="23" t="n">
        <f aca="false">DATE(YEAR(B439),MONTH(B439),1)</f>
        <v>46235</v>
      </c>
    </row>
    <row r="440" customFormat="false" ht="15" hidden="false" customHeight="false" outlineLevel="0" collapsed="false">
      <c r="A440" s="20" t="n">
        <v>439</v>
      </c>
      <c r="B440" s="21" t="n">
        <v>46267</v>
      </c>
      <c r="C440" s="20" t="s">
        <v>38</v>
      </c>
      <c r="D440" s="20" t="s">
        <v>39</v>
      </c>
      <c r="E440" s="20" t="s">
        <v>32</v>
      </c>
      <c r="F440" s="22" t="n">
        <v>120.91</v>
      </c>
      <c r="G440" s="20" t="s">
        <v>35</v>
      </c>
      <c r="H440" s="23" t="n">
        <f aca="false">DATE(YEAR(B440),MONTH(B440),1)</f>
        <v>46266</v>
      </c>
    </row>
    <row r="441" customFormat="false" ht="15" hidden="false" customHeight="false" outlineLevel="0" collapsed="false">
      <c r="A441" s="20" t="n">
        <v>440</v>
      </c>
      <c r="B441" s="21" t="n">
        <v>46267</v>
      </c>
      <c r="C441" s="20" t="s">
        <v>30</v>
      </c>
      <c r="D441" s="20" t="s">
        <v>31</v>
      </c>
      <c r="E441" s="20" t="s">
        <v>32</v>
      </c>
      <c r="F441" s="22" t="n">
        <v>150</v>
      </c>
      <c r="G441" s="20" t="s">
        <v>33</v>
      </c>
      <c r="H441" s="23" t="n">
        <f aca="false">DATE(YEAR(B441),MONTH(B441),1)</f>
        <v>46266</v>
      </c>
    </row>
    <row r="442" customFormat="false" ht="15" hidden="false" customHeight="false" outlineLevel="0" collapsed="false">
      <c r="A442" s="20" t="n">
        <v>441</v>
      </c>
      <c r="B442" s="21" t="n">
        <v>46268</v>
      </c>
      <c r="C442" s="20" t="s">
        <v>36</v>
      </c>
      <c r="D442" s="20" t="s">
        <v>37</v>
      </c>
      <c r="E442" s="20" t="s">
        <v>32</v>
      </c>
      <c r="F442" s="22" t="n">
        <v>109.9</v>
      </c>
      <c r="G442" s="20" t="s">
        <v>35</v>
      </c>
      <c r="H442" s="23" t="n">
        <f aca="false">DATE(YEAR(B442),MONTH(B442),1)</f>
        <v>46266</v>
      </c>
    </row>
    <row r="443" customFormat="false" ht="15" hidden="false" customHeight="false" outlineLevel="0" collapsed="false">
      <c r="A443" s="20" t="n">
        <v>442</v>
      </c>
      <c r="B443" s="21" t="n">
        <v>46269</v>
      </c>
      <c r="C443" s="20" t="s">
        <v>34</v>
      </c>
      <c r="D443" s="20" t="s">
        <v>31</v>
      </c>
      <c r="E443" s="20" t="s">
        <v>32</v>
      </c>
      <c r="F443" s="22" t="n">
        <v>31.77</v>
      </c>
      <c r="G443" s="20" t="s">
        <v>35</v>
      </c>
      <c r="H443" s="23" t="n">
        <f aca="false">DATE(YEAR(B443),MONTH(B443),1)</f>
        <v>46266</v>
      </c>
    </row>
    <row r="444" customFormat="false" ht="15" hidden="false" customHeight="false" outlineLevel="0" collapsed="false">
      <c r="A444" s="20" t="n">
        <v>443</v>
      </c>
      <c r="B444" s="21" t="n">
        <v>46270</v>
      </c>
      <c r="C444" s="20" t="s">
        <v>43</v>
      </c>
      <c r="D444" s="20" t="s">
        <v>43</v>
      </c>
      <c r="E444" s="20" t="s">
        <v>44</v>
      </c>
      <c r="F444" s="22" t="n">
        <v>5600</v>
      </c>
      <c r="G444" s="20" t="s">
        <v>33</v>
      </c>
      <c r="H444" s="23" t="n">
        <f aca="false">DATE(YEAR(B444),MONTH(B444),1)</f>
        <v>46266</v>
      </c>
    </row>
    <row r="445" customFormat="false" ht="15" hidden="false" customHeight="false" outlineLevel="0" collapsed="false">
      <c r="A445" s="20" t="n">
        <v>444</v>
      </c>
      <c r="B445" s="21" t="n">
        <v>46270</v>
      </c>
      <c r="C445" s="20" t="s">
        <v>38</v>
      </c>
      <c r="D445" s="20" t="s">
        <v>39</v>
      </c>
      <c r="E445" s="20" t="s">
        <v>32</v>
      </c>
      <c r="F445" s="22" t="n">
        <v>149.25</v>
      </c>
      <c r="G445" s="20" t="s">
        <v>49</v>
      </c>
      <c r="H445" s="23" t="n">
        <f aca="false">DATE(YEAR(B445),MONTH(B445),1)</f>
        <v>46266</v>
      </c>
    </row>
    <row r="446" customFormat="false" ht="15" hidden="false" customHeight="false" outlineLevel="0" collapsed="false">
      <c r="A446" s="20" t="n">
        <v>445</v>
      </c>
      <c r="B446" s="21" t="n">
        <v>46270</v>
      </c>
      <c r="C446" s="20" t="s">
        <v>38</v>
      </c>
      <c r="D446" s="20" t="s">
        <v>39</v>
      </c>
      <c r="E446" s="20" t="s">
        <v>32</v>
      </c>
      <c r="F446" s="22" t="n">
        <v>150.37</v>
      </c>
      <c r="G446" s="20" t="s">
        <v>33</v>
      </c>
      <c r="H446" s="23" t="n">
        <f aca="false">DATE(YEAR(B446),MONTH(B446),1)</f>
        <v>46266</v>
      </c>
    </row>
    <row r="447" customFormat="false" ht="15" hidden="false" customHeight="false" outlineLevel="0" collapsed="false">
      <c r="A447" s="20" t="n">
        <v>446</v>
      </c>
      <c r="B447" s="21" t="n">
        <v>46270</v>
      </c>
      <c r="C447" s="20" t="s">
        <v>41</v>
      </c>
      <c r="D447" s="20" t="s">
        <v>39</v>
      </c>
      <c r="E447" s="20" t="s">
        <v>32</v>
      </c>
      <c r="F447" s="22" t="n">
        <v>37.46</v>
      </c>
      <c r="G447" s="20" t="s">
        <v>33</v>
      </c>
      <c r="H447" s="23" t="n">
        <f aca="false">DATE(YEAR(B447),MONTH(B447),1)</f>
        <v>46266</v>
      </c>
    </row>
    <row r="448" customFormat="false" ht="15" hidden="false" customHeight="false" outlineLevel="0" collapsed="false">
      <c r="A448" s="20" t="n">
        <v>447</v>
      </c>
      <c r="B448" s="21" t="n">
        <v>46271</v>
      </c>
      <c r="C448" s="20" t="s">
        <v>45</v>
      </c>
      <c r="D448" s="20" t="s">
        <v>46</v>
      </c>
      <c r="E448" s="20" t="s">
        <v>32</v>
      </c>
      <c r="F448" s="22" t="n">
        <v>59.9</v>
      </c>
      <c r="G448" s="20" t="s">
        <v>35</v>
      </c>
      <c r="H448" s="23" t="n">
        <f aca="false">DATE(YEAR(B448),MONTH(B448),1)</f>
        <v>46266</v>
      </c>
    </row>
    <row r="449" customFormat="false" ht="15" hidden="false" customHeight="false" outlineLevel="0" collapsed="false">
      <c r="A449" s="20" t="n">
        <v>448</v>
      </c>
      <c r="B449" s="21" t="n">
        <v>46271</v>
      </c>
      <c r="C449" s="20" t="s">
        <v>47</v>
      </c>
      <c r="D449" s="20" t="s">
        <v>48</v>
      </c>
      <c r="E449" s="20" t="s">
        <v>32</v>
      </c>
      <c r="F449" s="22" t="n">
        <v>157.45</v>
      </c>
      <c r="G449" s="20" t="s">
        <v>35</v>
      </c>
      <c r="H449" s="23" t="n">
        <f aca="false">DATE(YEAR(B449),MONTH(B449),1)</f>
        <v>46266</v>
      </c>
    </row>
    <row r="450" customFormat="false" ht="15" hidden="false" customHeight="false" outlineLevel="0" collapsed="false">
      <c r="A450" s="20" t="n">
        <v>449</v>
      </c>
      <c r="B450" s="21" t="n">
        <v>46273</v>
      </c>
      <c r="C450" s="20" t="s">
        <v>50</v>
      </c>
      <c r="D450" s="20" t="s">
        <v>51</v>
      </c>
      <c r="E450" s="20" t="s">
        <v>32</v>
      </c>
      <c r="F450" s="22" t="n">
        <v>1350</v>
      </c>
      <c r="G450" s="20" t="s">
        <v>52</v>
      </c>
      <c r="H450" s="23" t="n">
        <f aca="false">DATE(YEAR(B450),MONTH(B450),1)</f>
        <v>46266</v>
      </c>
    </row>
    <row r="451" customFormat="false" ht="15" hidden="false" customHeight="false" outlineLevel="0" collapsed="false">
      <c r="A451" s="20" t="n">
        <v>450</v>
      </c>
      <c r="B451" s="21" t="n">
        <v>46273</v>
      </c>
      <c r="C451" s="20" t="s">
        <v>53</v>
      </c>
      <c r="D451" s="20" t="s">
        <v>51</v>
      </c>
      <c r="E451" s="20" t="s">
        <v>32</v>
      </c>
      <c r="F451" s="22" t="n">
        <v>250</v>
      </c>
      <c r="G451" s="20" t="s">
        <v>52</v>
      </c>
      <c r="H451" s="23" t="n">
        <f aca="false">DATE(YEAR(B451),MONTH(B451),1)</f>
        <v>46266</v>
      </c>
    </row>
    <row r="452" customFormat="false" ht="15" hidden="false" customHeight="false" outlineLevel="0" collapsed="false">
      <c r="A452" s="20" t="n">
        <v>451</v>
      </c>
      <c r="B452" s="21" t="n">
        <v>46274</v>
      </c>
      <c r="C452" s="20" t="s">
        <v>72</v>
      </c>
      <c r="D452" s="20" t="s">
        <v>60</v>
      </c>
      <c r="E452" s="20" t="s">
        <v>32</v>
      </c>
      <c r="F452" s="22" t="n">
        <v>37.66</v>
      </c>
      <c r="G452" s="20" t="s">
        <v>35</v>
      </c>
      <c r="H452" s="23" t="n">
        <f aca="false">DATE(YEAR(B452),MONTH(B452),1)</f>
        <v>46266</v>
      </c>
    </row>
    <row r="453" customFormat="false" ht="15" hidden="false" customHeight="false" outlineLevel="0" collapsed="false">
      <c r="A453" s="20" t="n">
        <v>452</v>
      </c>
      <c r="B453" s="21" t="n">
        <v>46275</v>
      </c>
      <c r="C453" s="20" t="s">
        <v>54</v>
      </c>
      <c r="D453" s="20" t="s">
        <v>51</v>
      </c>
      <c r="E453" s="20" t="s">
        <v>32</v>
      </c>
      <c r="F453" s="22" t="n">
        <v>99.9</v>
      </c>
      <c r="G453" s="20" t="s">
        <v>49</v>
      </c>
      <c r="H453" s="23" t="n">
        <f aca="false">DATE(YEAR(B453),MONTH(B453),1)</f>
        <v>46266</v>
      </c>
    </row>
    <row r="454" customFormat="false" ht="15" hidden="false" customHeight="false" outlineLevel="0" collapsed="false">
      <c r="A454" s="20" t="n">
        <v>453</v>
      </c>
      <c r="B454" s="21" t="n">
        <v>46275</v>
      </c>
      <c r="C454" s="20" t="s">
        <v>34</v>
      </c>
      <c r="D454" s="20" t="s">
        <v>31</v>
      </c>
      <c r="E454" s="20" t="s">
        <v>32</v>
      </c>
      <c r="F454" s="22" t="n">
        <v>37.93</v>
      </c>
      <c r="G454" s="20" t="s">
        <v>35</v>
      </c>
      <c r="H454" s="23" t="n">
        <f aca="false">DATE(YEAR(B454),MONTH(B454),1)</f>
        <v>46266</v>
      </c>
    </row>
    <row r="455" customFormat="false" ht="15" hidden="false" customHeight="false" outlineLevel="0" collapsed="false">
      <c r="A455" s="20" t="n">
        <v>454</v>
      </c>
      <c r="B455" s="21" t="n">
        <v>46276</v>
      </c>
      <c r="C455" s="20" t="s">
        <v>38</v>
      </c>
      <c r="D455" s="20" t="s">
        <v>39</v>
      </c>
      <c r="E455" s="20" t="s">
        <v>32</v>
      </c>
      <c r="F455" s="22" t="n">
        <v>209.15</v>
      </c>
      <c r="G455" s="20" t="s">
        <v>35</v>
      </c>
      <c r="H455" s="23" t="n">
        <f aca="false">DATE(YEAR(B455),MONTH(B455),1)</f>
        <v>46266</v>
      </c>
    </row>
    <row r="456" customFormat="false" ht="15" hidden="false" customHeight="false" outlineLevel="0" collapsed="false">
      <c r="A456" s="20" t="n">
        <v>455</v>
      </c>
      <c r="B456" s="21" t="n">
        <v>46276</v>
      </c>
      <c r="C456" s="20" t="s">
        <v>42</v>
      </c>
      <c r="D456" s="20" t="s">
        <v>39</v>
      </c>
      <c r="E456" s="20" t="s">
        <v>32</v>
      </c>
      <c r="F456" s="22" t="n">
        <v>61.8</v>
      </c>
      <c r="G456" s="20" t="s">
        <v>35</v>
      </c>
      <c r="H456" s="23" t="n">
        <f aca="false">DATE(YEAR(B456),MONTH(B456),1)</f>
        <v>46266</v>
      </c>
    </row>
    <row r="457" customFormat="false" ht="15" hidden="false" customHeight="false" outlineLevel="0" collapsed="false">
      <c r="A457" s="20" t="n">
        <v>456</v>
      </c>
      <c r="B457" s="21" t="n">
        <v>46276</v>
      </c>
      <c r="C457" s="20" t="s">
        <v>42</v>
      </c>
      <c r="D457" s="20" t="s">
        <v>39</v>
      </c>
      <c r="E457" s="20" t="s">
        <v>32</v>
      </c>
      <c r="F457" s="22" t="n">
        <v>52.33</v>
      </c>
      <c r="G457" s="20" t="s">
        <v>35</v>
      </c>
      <c r="H457" s="23" t="n">
        <f aca="false">DATE(YEAR(B457),MONTH(B457),1)</f>
        <v>46266</v>
      </c>
    </row>
    <row r="458" customFormat="false" ht="15" hidden="false" customHeight="false" outlineLevel="0" collapsed="false">
      <c r="A458" s="20" t="n">
        <v>457</v>
      </c>
      <c r="B458" s="21" t="n">
        <v>46276</v>
      </c>
      <c r="C458" s="20" t="s">
        <v>68</v>
      </c>
      <c r="D458" s="20" t="s">
        <v>48</v>
      </c>
      <c r="E458" s="20" t="s">
        <v>32</v>
      </c>
      <c r="F458" s="22" t="n">
        <v>78.14</v>
      </c>
      <c r="G458" s="20" t="s">
        <v>33</v>
      </c>
      <c r="H458" s="23" t="n">
        <f aca="false">DATE(YEAR(B458),MONTH(B458),1)</f>
        <v>46266</v>
      </c>
    </row>
    <row r="459" customFormat="false" ht="15" hidden="false" customHeight="false" outlineLevel="0" collapsed="false">
      <c r="A459" s="20" t="n">
        <v>458</v>
      </c>
      <c r="B459" s="21" t="n">
        <v>46277</v>
      </c>
      <c r="C459" s="20" t="s">
        <v>55</v>
      </c>
      <c r="D459" s="20" t="s">
        <v>56</v>
      </c>
      <c r="E459" s="20" t="s">
        <v>32</v>
      </c>
      <c r="F459" s="22" t="n">
        <v>39.9</v>
      </c>
      <c r="G459" s="20" t="s">
        <v>35</v>
      </c>
      <c r="H459" s="23" t="n">
        <f aca="false">DATE(YEAR(B459),MONTH(B459),1)</f>
        <v>46266</v>
      </c>
    </row>
    <row r="460" customFormat="false" ht="15" hidden="false" customHeight="false" outlineLevel="0" collapsed="false">
      <c r="A460" s="20" t="n">
        <v>459</v>
      </c>
      <c r="B460" s="21" t="n">
        <v>46278</v>
      </c>
      <c r="C460" s="20" t="s">
        <v>76</v>
      </c>
      <c r="D460" s="20" t="s">
        <v>37</v>
      </c>
      <c r="E460" s="20" t="s">
        <v>32</v>
      </c>
      <c r="F460" s="22" t="n">
        <v>63.7</v>
      </c>
      <c r="G460" s="20" t="s">
        <v>33</v>
      </c>
      <c r="H460" s="23" t="n">
        <f aca="false">DATE(YEAR(B460),MONTH(B460),1)</f>
        <v>46266</v>
      </c>
    </row>
    <row r="461" customFormat="false" ht="15" hidden="false" customHeight="false" outlineLevel="0" collapsed="false">
      <c r="A461" s="20" t="n">
        <v>460</v>
      </c>
      <c r="B461" s="21" t="n">
        <v>46278</v>
      </c>
      <c r="C461" s="20" t="s">
        <v>38</v>
      </c>
      <c r="D461" s="20" t="s">
        <v>39</v>
      </c>
      <c r="E461" s="20" t="s">
        <v>32</v>
      </c>
      <c r="F461" s="22" t="n">
        <v>228.15</v>
      </c>
      <c r="G461" s="20" t="s">
        <v>33</v>
      </c>
      <c r="H461" s="23" t="n">
        <f aca="false">DATE(YEAR(B461),MONTH(B461),1)</f>
        <v>46266</v>
      </c>
    </row>
    <row r="462" customFormat="false" ht="15" hidden="false" customHeight="false" outlineLevel="0" collapsed="false">
      <c r="A462" s="20" t="n">
        <v>461</v>
      </c>
      <c r="B462" s="21" t="n">
        <v>46279</v>
      </c>
      <c r="C462" s="20" t="s">
        <v>57</v>
      </c>
      <c r="D462" s="20" t="s">
        <v>56</v>
      </c>
      <c r="E462" s="20" t="s">
        <v>32</v>
      </c>
      <c r="F462" s="22" t="n">
        <v>21.9</v>
      </c>
      <c r="G462" s="20" t="s">
        <v>35</v>
      </c>
      <c r="H462" s="23" t="n">
        <f aca="false">DATE(YEAR(B462),MONTH(B462),1)</f>
        <v>46266</v>
      </c>
    </row>
    <row r="463" customFormat="false" ht="15" hidden="false" customHeight="false" outlineLevel="0" collapsed="false">
      <c r="A463" s="20" t="n">
        <v>462</v>
      </c>
      <c r="B463" s="21" t="n">
        <v>46279</v>
      </c>
      <c r="C463" s="20" t="s">
        <v>70</v>
      </c>
      <c r="D463" s="20" t="s">
        <v>48</v>
      </c>
      <c r="E463" s="20" t="s">
        <v>32</v>
      </c>
      <c r="F463" s="22" t="n">
        <v>71.75</v>
      </c>
      <c r="G463" s="20" t="s">
        <v>33</v>
      </c>
      <c r="H463" s="23" t="n">
        <f aca="false">DATE(YEAR(B463),MONTH(B463),1)</f>
        <v>46266</v>
      </c>
    </row>
    <row r="464" customFormat="false" ht="15" hidden="false" customHeight="false" outlineLevel="0" collapsed="false">
      <c r="A464" s="20" t="n">
        <v>463</v>
      </c>
      <c r="B464" s="21" t="n">
        <v>46280</v>
      </c>
      <c r="C464" s="20" t="s">
        <v>58</v>
      </c>
      <c r="D464" s="20" t="s">
        <v>51</v>
      </c>
      <c r="E464" s="20" t="s">
        <v>32</v>
      </c>
      <c r="F464" s="22" t="n">
        <v>129.15</v>
      </c>
      <c r="G464" s="20" t="s">
        <v>52</v>
      </c>
      <c r="H464" s="23" t="n">
        <f aca="false">DATE(YEAR(B464),MONTH(B464),1)</f>
        <v>46266</v>
      </c>
    </row>
    <row r="465" customFormat="false" ht="15" hidden="false" customHeight="false" outlineLevel="0" collapsed="false">
      <c r="A465" s="20" t="n">
        <v>464</v>
      </c>
      <c r="B465" s="21" t="n">
        <v>46282</v>
      </c>
      <c r="C465" s="20" t="s">
        <v>41</v>
      </c>
      <c r="D465" s="20" t="s">
        <v>39</v>
      </c>
      <c r="E465" s="20" t="s">
        <v>32</v>
      </c>
      <c r="F465" s="22" t="n">
        <v>98.46</v>
      </c>
      <c r="G465" s="20" t="s">
        <v>35</v>
      </c>
      <c r="H465" s="23" t="n">
        <f aca="false">DATE(YEAR(B465),MONTH(B465),1)</f>
        <v>46266</v>
      </c>
    </row>
    <row r="466" customFormat="false" ht="15" hidden="false" customHeight="false" outlineLevel="0" collapsed="false">
      <c r="A466" s="20" t="n">
        <v>465</v>
      </c>
      <c r="B466" s="21" t="n">
        <v>46283</v>
      </c>
      <c r="C466" s="20" t="s">
        <v>59</v>
      </c>
      <c r="D466" s="20" t="s">
        <v>60</v>
      </c>
      <c r="E466" s="20" t="s">
        <v>32</v>
      </c>
      <c r="F466" s="22" t="n">
        <v>23.69</v>
      </c>
      <c r="G466" s="20" t="s">
        <v>33</v>
      </c>
      <c r="H466" s="23" t="n">
        <f aca="false">DATE(YEAR(B466),MONTH(B466),1)</f>
        <v>46266</v>
      </c>
    </row>
    <row r="467" customFormat="false" ht="15" hidden="false" customHeight="false" outlineLevel="0" collapsed="false">
      <c r="A467" s="20" t="n">
        <v>466</v>
      </c>
      <c r="B467" s="21" t="n">
        <v>46284</v>
      </c>
      <c r="C467" s="20" t="s">
        <v>70</v>
      </c>
      <c r="D467" s="20" t="s">
        <v>48</v>
      </c>
      <c r="E467" s="20" t="s">
        <v>32</v>
      </c>
      <c r="F467" s="22" t="n">
        <v>62.1</v>
      </c>
      <c r="G467" s="20" t="s">
        <v>35</v>
      </c>
      <c r="H467" s="23" t="n">
        <f aca="false">DATE(YEAR(B467),MONTH(B467),1)</f>
        <v>46266</v>
      </c>
    </row>
    <row r="468" customFormat="false" ht="15" hidden="false" customHeight="false" outlineLevel="0" collapsed="false">
      <c r="A468" s="20" t="n">
        <v>467</v>
      </c>
      <c r="B468" s="21" t="n">
        <v>46284</v>
      </c>
      <c r="C468" s="20" t="s">
        <v>73</v>
      </c>
      <c r="D468" s="20" t="s">
        <v>62</v>
      </c>
      <c r="E468" s="20" t="s">
        <v>32</v>
      </c>
      <c r="F468" s="22" t="n">
        <v>128.05</v>
      </c>
      <c r="G468" s="20" t="s">
        <v>35</v>
      </c>
      <c r="H468" s="23" t="n">
        <f aca="false">DATE(YEAR(B468),MONTH(B468),1)</f>
        <v>46266</v>
      </c>
    </row>
    <row r="469" customFormat="false" ht="15" hidden="false" customHeight="false" outlineLevel="0" collapsed="false">
      <c r="A469" s="20" t="n">
        <v>468</v>
      </c>
      <c r="B469" s="21" t="n">
        <v>46285</v>
      </c>
      <c r="C469" s="20" t="s">
        <v>42</v>
      </c>
      <c r="D469" s="20" t="s">
        <v>39</v>
      </c>
      <c r="E469" s="20" t="s">
        <v>32</v>
      </c>
      <c r="F469" s="22" t="n">
        <v>55.09</v>
      </c>
      <c r="G469" s="20" t="s">
        <v>35</v>
      </c>
      <c r="H469" s="23" t="n">
        <f aca="false">DATE(YEAR(B469),MONTH(B469),1)</f>
        <v>46266</v>
      </c>
    </row>
    <row r="470" customFormat="false" ht="15" hidden="false" customHeight="false" outlineLevel="0" collapsed="false">
      <c r="A470" s="20" t="n">
        <v>469</v>
      </c>
      <c r="B470" s="21" t="n">
        <v>46285</v>
      </c>
      <c r="C470" s="20" t="s">
        <v>34</v>
      </c>
      <c r="D470" s="20" t="s">
        <v>31</v>
      </c>
      <c r="E470" s="20" t="s">
        <v>32</v>
      </c>
      <c r="F470" s="22" t="n">
        <v>13.78</v>
      </c>
      <c r="G470" s="20" t="s">
        <v>35</v>
      </c>
      <c r="H470" s="23" t="n">
        <f aca="false">DATE(YEAR(B470),MONTH(B470),1)</f>
        <v>46266</v>
      </c>
    </row>
    <row r="471" customFormat="false" ht="15" hidden="false" customHeight="false" outlineLevel="0" collapsed="false">
      <c r="A471" s="20" t="n">
        <v>470</v>
      </c>
      <c r="B471" s="21" t="n">
        <v>46285</v>
      </c>
      <c r="C471" s="20" t="s">
        <v>71</v>
      </c>
      <c r="D471" s="20" t="s">
        <v>48</v>
      </c>
      <c r="E471" s="20" t="s">
        <v>32</v>
      </c>
      <c r="F471" s="22" t="n">
        <v>120.56</v>
      </c>
      <c r="G471" s="20" t="s">
        <v>35</v>
      </c>
      <c r="H471" s="23" t="n">
        <f aca="false">DATE(YEAR(B471),MONTH(B471),1)</f>
        <v>46266</v>
      </c>
    </row>
    <row r="472" customFormat="false" ht="15" hidden="false" customHeight="false" outlineLevel="0" collapsed="false">
      <c r="A472" s="20" t="n">
        <v>471</v>
      </c>
      <c r="B472" s="21" t="n">
        <v>46286</v>
      </c>
      <c r="C472" s="20" t="s">
        <v>42</v>
      </c>
      <c r="D472" s="20" t="s">
        <v>39</v>
      </c>
      <c r="E472" s="20" t="s">
        <v>32</v>
      </c>
      <c r="F472" s="22" t="n">
        <v>29.37</v>
      </c>
      <c r="G472" s="20" t="s">
        <v>35</v>
      </c>
      <c r="H472" s="23" t="n">
        <f aca="false">DATE(YEAR(B472),MONTH(B472),1)</f>
        <v>46266</v>
      </c>
    </row>
    <row r="473" customFormat="false" ht="15" hidden="false" customHeight="false" outlineLevel="0" collapsed="false">
      <c r="A473" s="20" t="n">
        <v>472</v>
      </c>
      <c r="B473" s="21" t="n">
        <v>46286</v>
      </c>
      <c r="C473" s="20" t="s">
        <v>34</v>
      </c>
      <c r="D473" s="20" t="s">
        <v>31</v>
      </c>
      <c r="E473" s="20" t="s">
        <v>32</v>
      </c>
      <c r="F473" s="22" t="n">
        <v>29.79</v>
      </c>
      <c r="G473" s="20" t="s">
        <v>35</v>
      </c>
      <c r="H473" s="23" t="n">
        <f aca="false">DATE(YEAR(B473),MONTH(B473),1)</f>
        <v>46266</v>
      </c>
    </row>
    <row r="474" customFormat="false" ht="15" hidden="false" customHeight="false" outlineLevel="0" collapsed="false">
      <c r="A474" s="20" t="n">
        <v>473</v>
      </c>
      <c r="B474" s="21" t="n">
        <v>46288</v>
      </c>
      <c r="C474" s="20" t="s">
        <v>38</v>
      </c>
      <c r="D474" s="20" t="s">
        <v>39</v>
      </c>
      <c r="E474" s="20" t="s">
        <v>32</v>
      </c>
      <c r="F474" s="22" t="n">
        <v>216.15</v>
      </c>
      <c r="G474" s="20" t="s">
        <v>35</v>
      </c>
      <c r="H474" s="23" t="n">
        <f aca="false">DATE(YEAR(B474),MONTH(B474),1)</f>
        <v>46266</v>
      </c>
    </row>
    <row r="475" customFormat="false" ht="15" hidden="false" customHeight="false" outlineLevel="0" collapsed="false">
      <c r="A475" s="20" t="n">
        <v>474</v>
      </c>
      <c r="B475" s="21" t="n">
        <v>46288</v>
      </c>
      <c r="C475" s="20" t="s">
        <v>34</v>
      </c>
      <c r="D475" s="20" t="s">
        <v>31</v>
      </c>
      <c r="E475" s="20" t="s">
        <v>32</v>
      </c>
      <c r="F475" s="22" t="n">
        <v>34.69</v>
      </c>
      <c r="G475" s="20" t="s">
        <v>35</v>
      </c>
      <c r="H475" s="23" t="n">
        <f aca="false">DATE(YEAR(B475),MONTH(B475),1)</f>
        <v>46266</v>
      </c>
    </row>
    <row r="476" customFormat="false" ht="15" hidden="false" customHeight="false" outlineLevel="0" collapsed="false">
      <c r="A476" s="20" t="n">
        <v>475</v>
      </c>
      <c r="B476" s="21" t="n">
        <v>46289</v>
      </c>
      <c r="C476" s="20" t="s">
        <v>41</v>
      </c>
      <c r="D476" s="20" t="s">
        <v>39</v>
      </c>
      <c r="E476" s="20" t="s">
        <v>32</v>
      </c>
      <c r="F476" s="22" t="n">
        <v>42.52</v>
      </c>
      <c r="G476" s="20" t="s">
        <v>49</v>
      </c>
      <c r="H476" s="23" t="n">
        <f aca="false">DATE(YEAR(B476),MONTH(B476),1)</f>
        <v>46266</v>
      </c>
    </row>
    <row r="477" customFormat="false" ht="15" hidden="false" customHeight="false" outlineLevel="0" collapsed="false">
      <c r="A477" s="20" t="n">
        <v>476</v>
      </c>
      <c r="B477" s="21" t="n">
        <v>46289</v>
      </c>
      <c r="C477" s="20" t="s">
        <v>34</v>
      </c>
      <c r="D477" s="20" t="s">
        <v>31</v>
      </c>
      <c r="E477" s="20" t="s">
        <v>32</v>
      </c>
      <c r="F477" s="22" t="n">
        <v>14.35</v>
      </c>
      <c r="G477" s="20" t="s">
        <v>35</v>
      </c>
      <c r="H477" s="23" t="n">
        <f aca="false">DATE(YEAR(B477),MONTH(B477),1)</f>
        <v>46266</v>
      </c>
    </row>
    <row r="478" customFormat="false" ht="15" hidden="false" customHeight="false" outlineLevel="0" collapsed="false">
      <c r="A478" s="20" t="n">
        <v>477</v>
      </c>
      <c r="B478" s="21" t="n">
        <v>46291</v>
      </c>
      <c r="C478" s="20" t="s">
        <v>72</v>
      </c>
      <c r="D478" s="20" t="s">
        <v>60</v>
      </c>
      <c r="E478" s="20" t="s">
        <v>32</v>
      </c>
      <c r="F478" s="22" t="n">
        <v>87.39</v>
      </c>
      <c r="G478" s="20" t="s">
        <v>49</v>
      </c>
      <c r="H478" s="23" t="n">
        <f aca="false">DATE(YEAR(B478),MONTH(B478),1)</f>
        <v>46266</v>
      </c>
    </row>
    <row r="479" customFormat="false" ht="15" hidden="false" customHeight="false" outlineLevel="0" collapsed="false">
      <c r="A479" s="20" t="n">
        <v>478</v>
      </c>
      <c r="B479" s="21" t="n">
        <v>46293</v>
      </c>
      <c r="C479" s="20" t="s">
        <v>63</v>
      </c>
      <c r="D479" s="20" t="s">
        <v>64</v>
      </c>
      <c r="E479" s="20" t="s">
        <v>44</v>
      </c>
      <c r="F479" s="22" t="n">
        <v>28.35</v>
      </c>
      <c r="G479" s="20" t="s">
        <v>33</v>
      </c>
      <c r="H479" s="23" t="n">
        <f aca="false">DATE(YEAR(B479),MONTH(B479),1)</f>
        <v>46266</v>
      </c>
    </row>
    <row r="480" customFormat="false" ht="15" hidden="false" customHeight="false" outlineLevel="0" collapsed="false">
      <c r="A480" s="20" t="n">
        <v>479</v>
      </c>
      <c r="B480" s="21" t="n">
        <v>46293</v>
      </c>
      <c r="C480" s="20" t="s">
        <v>76</v>
      </c>
      <c r="D480" s="20" t="s">
        <v>37</v>
      </c>
      <c r="E480" s="20" t="s">
        <v>32</v>
      </c>
      <c r="F480" s="22" t="n">
        <v>41.04</v>
      </c>
      <c r="G480" s="20" t="s">
        <v>49</v>
      </c>
      <c r="H480" s="23" t="n">
        <f aca="false">DATE(YEAR(B480),MONTH(B480),1)</f>
        <v>46266</v>
      </c>
    </row>
    <row r="481" customFormat="false" ht="15" hidden="false" customHeight="false" outlineLevel="0" collapsed="false">
      <c r="A481" s="20" t="n">
        <v>480</v>
      </c>
      <c r="B481" s="21" t="n">
        <v>46293</v>
      </c>
      <c r="C481" s="20" t="s">
        <v>42</v>
      </c>
      <c r="D481" s="20" t="s">
        <v>39</v>
      </c>
      <c r="E481" s="20" t="s">
        <v>32</v>
      </c>
      <c r="F481" s="22" t="n">
        <v>48.41</v>
      </c>
      <c r="G481" s="20" t="s">
        <v>35</v>
      </c>
      <c r="H481" s="23" t="n">
        <f aca="false">DATE(YEAR(B481),MONTH(B481),1)</f>
        <v>46266</v>
      </c>
    </row>
    <row r="482" customFormat="false" ht="15" hidden="false" customHeight="false" outlineLevel="0" collapsed="false">
      <c r="A482" s="20" t="n">
        <v>481</v>
      </c>
      <c r="B482" s="21" t="n">
        <v>46293</v>
      </c>
      <c r="C482" s="20" t="s">
        <v>34</v>
      </c>
      <c r="D482" s="20" t="s">
        <v>31</v>
      </c>
      <c r="E482" s="20" t="s">
        <v>32</v>
      </c>
      <c r="F482" s="22" t="n">
        <v>26.07</v>
      </c>
      <c r="G482" s="20" t="s">
        <v>35</v>
      </c>
      <c r="H482" s="23" t="n">
        <f aca="false">DATE(YEAR(B482),MONTH(B482),1)</f>
        <v>46266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8"/>
  </cols>
  <sheetData>
    <row r="1" customFormat="false" ht="15" hidden="false" customHeight="false" outlineLevel="0" collapsed="false">
      <c r="A1" s="19" t="s">
        <v>25</v>
      </c>
      <c r="B1" s="24" t="s">
        <v>78</v>
      </c>
      <c r="D1" s="2" t="s">
        <v>79</v>
      </c>
    </row>
    <row r="2" customFormat="false" ht="15" hidden="false" customHeight="false" outlineLevel="0" collapsed="false">
      <c r="A2" s="20" t="s">
        <v>51</v>
      </c>
      <c r="B2" s="25" t="n">
        <v>1900</v>
      </c>
    </row>
    <row r="3" customFormat="false" ht="15" hidden="false" customHeight="false" outlineLevel="0" collapsed="false">
      <c r="A3" s="20" t="s">
        <v>39</v>
      </c>
      <c r="B3" s="25" t="n">
        <v>1100</v>
      </c>
    </row>
    <row r="4" customFormat="false" ht="15" hidden="false" customHeight="false" outlineLevel="0" collapsed="false">
      <c r="A4" s="20" t="s">
        <v>31</v>
      </c>
      <c r="B4" s="25" t="n">
        <v>450</v>
      </c>
    </row>
    <row r="5" customFormat="false" ht="15" hidden="false" customHeight="false" outlineLevel="0" collapsed="false">
      <c r="A5" s="20" t="s">
        <v>37</v>
      </c>
      <c r="B5" s="25" t="n">
        <v>250</v>
      </c>
    </row>
    <row r="6" customFormat="false" ht="15" hidden="false" customHeight="false" outlineLevel="0" collapsed="false">
      <c r="A6" s="20" t="s">
        <v>48</v>
      </c>
      <c r="B6" s="25" t="n">
        <v>400</v>
      </c>
    </row>
    <row r="7" customFormat="false" ht="15" hidden="false" customHeight="false" outlineLevel="0" collapsed="false">
      <c r="A7" s="20" t="s">
        <v>46</v>
      </c>
      <c r="B7" s="25" t="n">
        <v>200</v>
      </c>
    </row>
    <row r="8" customFormat="false" ht="15" hidden="false" customHeight="false" outlineLevel="0" collapsed="false">
      <c r="A8" s="20" t="s">
        <v>56</v>
      </c>
      <c r="B8" s="25" t="n">
        <v>120</v>
      </c>
    </row>
    <row r="9" customFormat="false" ht="15" hidden="false" customHeight="false" outlineLevel="0" collapsed="false">
      <c r="A9" s="20" t="s">
        <v>62</v>
      </c>
      <c r="B9" s="25" t="n">
        <v>350</v>
      </c>
    </row>
    <row r="10" customFormat="false" ht="15" hidden="false" customHeight="false" outlineLevel="0" collapsed="false">
      <c r="A10" s="20" t="s">
        <v>60</v>
      </c>
      <c r="B10" s="25" t="n">
        <v>200</v>
      </c>
    </row>
    <row r="11" customFormat="false" ht="15" hidden="false" customHeight="false" outlineLevel="0" collapsed="false">
      <c r="A11" s="3" t="s">
        <v>15</v>
      </c>
      <c r="B11" s="26" t="n">
        <f aca="false">SUM(B2:B10)</f>
        <v>4970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</cols>
  <sheetData>
    <row r="1" customFormat="false" ht="15" hidden="false" customHeight="false" outlineLevel="0" collapsed="false">
      <c r="A1" s="19" t="s">
        <v>80</v>
      </c>
    </row>
    <row r="2" customFormat="false" ht="15" hidden="false" customHeight="false" outlineLevel="0" collapsed="false">
      <c r="A2" s="23" t="n">
        <f aca="false">DATE(2025,10,1)</f>
        <v>45931</v>
      </c>
    </row>
    <row r="3" customFormat="false" ht="15" hidden="false" customHeight="false" outlineLevel="0" collapsed="false">
      <c r="A3" s="23" t="n">
        <f aca="false">EDATE(A2,1)</f>
        <v>45962</v>
      </c>
    </row>
    <row r="4" customFormat="false" ht="15" hidden="false" customHeight="false" outlineLevel="0" collapsed="false">
      <c r="A4" s="23" t="n">
        <f aca="false">EDATE(A3,1)</f>
        <v>45992</v>
      </c>
    </row>
    <row r="5" customFormat="false" ht="15" hidden="false" customHeight="false" outlineLevel="0" collapsed="false">
      <c r="A5" s="23" t="n">
        <f aca="false">EDATE(A4,1)</f>
        <v>46023</v>
      </c>
    </row>
    <row r="6" customFormat="false" ht="15" hidden="false" customHeight="false" outlineLevel="0" collapsed="false">
      <c r="A6" s="23" t="n">
        <f aca="false">EDATE(A5,1)</f>
        <v>46054</v>
      </c>
    </row>
    <row r="7" customFormat="false" ht="15" hidden="false" customHeight="false" outlineLevel="0" collapsed="false">
      <c r="A7" s="23" t="n">
        <f aca="false">EDATE(A6,1)</f>
        <v>46082</v>
      </c>
    </row>
    <row r="8" customFormat="false" ht="15" hidden="false" customHeight="false" outlineLevel="0" collapsed="false">
      <c r="A8" s="23" t="n">
        <f aca="false">EDATE(A7,1)</f>
        <v>46113</v>
      </c>
    </row>
    <row r="9" customFormat="false" ht="15" hidden="false" customHeight="false" outlineLevel="0" collapsed="false">
      <c r="A9" s="23" t="n">
        <f aca="false">EDATE(A8,1)</f>
        <v>46143</v>
      </c>
    </row>
    <row r="10" customFormat="false" ht="15" hidden="false" customHeight="false" outlineLevel="0" collapsed="false">
      <c r="A10" s="23" t="n">
        <f aca="false">EDATE(A9,1)</f>
        <v>46174</v>
      </c>
    </row>
    <row r="11" customFormat="false" ht="15" hidden="false" customHeight="false" outlineLevel="0" collapsed="false">
      <c r="A11" s="23" t="n">
        <f aca="false">EDATE(A10,1)</f>
        <v>46204</v>
      </c>
    </row>
    <row r="12" customFormat="false" ht="15" hidden="false" customHeight="false" outlineLevel="0" collapsed="false">
      <c r="A12" s="23" t="n">
        <f aca="false">EDATE(A11,1)</f>
        <v>46235</v>
      </c>
    </row>
    <row r="13" customFormat="false" ht="15" hidden="false" customHeight="false" outlineLevel="0" collapsed="false">
      <c r="A13" s="23" t="n">
        <f aca="false">EDATE(A12,1)</f>
        <v>46266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6.15" hidden="false" customHeight="false" outlineLevel="0" collapsed="false">
      <c r="A1" s="27" t="s">
        <v>81</v>
      </c>
    </row>
    <row r="2" customFormat="false" ht="26.85" hidden="false" customHeight="false" outlineLevel="0" collapsed="false">
      <c r="A2" s="28" t="s">
        <v>82</v>
      </c>
    </row>
    <row r="3" customFormat="false" ht="15" hidden="false" customHeight="false" outlineLevel="0" collapsed="false">
      <c r="A3" s="28"/>
    </row>
    <row r="4" customFormat="false" ht="16.15" hidden="false" customHeight="false" outlineLevel="0" collapsed="false">
      <c r="A4" s="27" t="s">
        <v>83</v>
      </c>
    </row>
    <row r="5" customFormat="false" ht="26.85" hidden="false" customHeight="false" outlineLevel="0" collapsed="false">
      <c r="A5" s="28" t="s">
        <v>84</v>
      </c>
    </row>
    <row r="6" customFormat="false" ht="15" hidden="false" customHeight="false" outlineLevel="0" collapsed="false">
      <c r="A6" s="28" t="s">
        <v>85</v>
      </c>
    </row>
    <row r="7" customFormat="false" ht="15" hidden="false" customHeight="false" outlineLevel="0" collapsed="false">
      <c r="A7" s="28"/>
    </row>
    <row r="8" customFormat="false" ht="16.15" hidden="false" customHeight="false" outlineLevel="0" collapsed="false">
      <c r="A8" s="27" t="s">
        <v>86</v>
      </c>
    </row>
    <row r="9" customFormat="false" ht="15" hidden="false" customHeight="false" outlineLevel="0" collapsed="false">
      <c r="A9" s="28" t="s">
        <v>87</v>
      </c>
    </row>
    <row r="10" customFormat="false" ht="15" hidden="false" customHeight="false" outlineLevel="0" collapsed="false">
      <c r="A10" s="28" t="s">
        <v>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2026-10-07T02:31:47Z</dcterms:created>
  <dc:creator>openpyxl</dc:creator>
  <dc:description/>
  <dc:language>en-US</dc:language>
  <cp:lastModifiedBy/>
  <dcterms:modified xsi:type="dcterms:W3CDTF">2026-10-07T02:31:50Z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